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8f985cdba042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Tong_quan" sheetId="1" r:id="R4f2bb33820024c69"/>
    <x:sheet xmlns:r="http://schemas.openxmlformats.org/officeDocument/2006/relationships" name="01_Ma_tran" sheetId="2" r:id="Raba10aa80e394840"/>
    <x:sheet xmlns:r="http://schemas.openxmlformats.org/officeDocument/2006/relationships" name="02_Template" sheetId="3" r:id="R29236c6e3a4040d9"/>
    <x:sheet xmlns:r="http://schemas.openxmlformats.org/officeDocument/2006/relationships" name="03_Accessibility" sheetId="4" r:id="Rc81f2d0b55854b30"/>
    <x:sheet xmlns:r="http://schemas.openxmlformats.org/officeDocument/2006/relationships" name="04_Decision_Gates" sheetId="5" r:id="Reb2afc4b58584916"/>
    <x:sheet xmlns:r="http://schemas.openxmlformats.org/officeDocument/2006/relationships" name="05_Change_Log" sheetId="6" r:id="Rd9dbef531b4e48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14"/>
      <x:color rgb="FF173B63"/>
      <x:name val="Carlito"/>
    </x:font>
    <x:font>
      <x:b/>
      <x:sz val="14"/>
      <x:color rgb="FF375623"/>
      <x:name val="Carlito"/>
    </x:font>
    <x:font>
      <x:b/>
      <x:sz val="14"/>
      <x:color rgb="FF7F6000"/>
      <x:name val="Carlito"/>
    </x:font>
    <x:font>
      <x:b/>
      <x:sz val="14"/>
      <x:color rgb="FF9C0006"/>
      <x:name val="Carlito"/>
    </x:font>
    <x:font>
      <x:b/>
      <x:sz val="13"/>
      <x:color rgb="FF173B63"/>
      <x:name val="Carlito"/>
    </x:font>
    <x:font>
      <x:b/>
      <x:sz val="9"/>
      <x:color rgb="FF375623"/>
      <x:name val="Carlito"/>
    </x:font>
    <x:font>
      <x:b/>
      <x:sz val="10"/>
      <x:color rgb="FF173B63"/>
      <x:name val="Carlito"/>
    </x:font>
    <x:font>
      <x:b/>
      <x:sz val="9"/>
      <x:color rgb="FF173B63"/>
      <x:name val="Carlito"/>
    </x:font>
    <x:font>
      <x:b/>
      <x:sz val="10"/>
      <x:color rgb="FF7F6000"/>
      <x:name val="Carlito"/>
    </x:font>
    <x:font>
      <x:b/>
      <x:sz val="9"/>
      <x:color rgb="FF2F75B5"/>
      <x:name val="Carlito"/>
    </x:font>
    <x:font>
      <x:b/>
      <x:sz val="11"/>
      <x:color rgb="FF7F6000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B63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AF3F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F3F6F9"/>
      </x:patternFill>
    </x:fill>
    <x:fill>
      <x:patternFill patternType="solid">
        <x:fgColor rgb="FFE8F1F8"/>
      </x:patternFill>
    </x:fill>
  </x:fills>
  <x:borders count="4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bottom style="thin">
        <x:color rgb="FFDCE6ED"/>
      </x:bottom>
    </x:border>
    <x:border>
      <x:top style="thin">
        <x:color rgb="FFDCE6ED"/>
      </x:top>
      <x:bottom style="thin">
        <x:color rgb="FFDCE6ED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horizontal="center" vertical="top" wrapText="1"/>
    </x:xf>
    <x:xf numFmtId="0" fontId="5" fillId="5" borderId="3" xfId="0" applyNumberFormat="1" applyFont="1" applyFill="1" applyBorder="1" applyAlignment="1">
      <x:alignment horizontal="center"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6" fillId="6" borderId="2" xfId="0" applyNumberFormat="1" applyFont="1" applyFill="1" applyBorder="1" applyAlignment="1">
      <x:alignment vertical="top" wrapText="1"/>
    </x:xf>
    <x:xf numFmtId="0" fontId="6" fillId="6" borderId="2" xfId="0" applyNumberFormat="1" applyFont="1" applyFill="1" applyBorder="1" applyAlignment="1">
      <x:alignment horizontal="center" vertical="top" wrapText="1"/>
    </x:xf>
    <x:xf numFmtId="0" fontId="4" fillId="7" borderId="3" xfId="0" applyNumberFormat="1" applyFont="1" applyFill="1" applyBorder="1" applyAlignment="1">
      <x:alignment vertical="top" wrapText="1"/>
    </x:xf>
    <x:xf numFmtId="0" fontId="7" fillId="7" borderId="3" xfId="0" applyNumberFormat="1" applyFont="1" applyFill="1" applyBorder="1" applyAlignment="1">
      <x:alignment vertical="top" wrapText="1"/>
    </x:xf>
    <x:xf numFmtId="0" fontId="7" fillId="7" borderId="3" xfId="0" applyNumberFormat="1" applyFont="1" applyFill="1" applyBorder="1" applyAlignment="1">
      <x:alignment horizontal="center" vertical="top" wrapText="1"/>
    </x:xf>
    <x:xf numFmtId="0" fontId="4" fillId="8" borderId="3" xfId="0" applyNumberFormat="1" applyFont="1" applyFill="1" applyBorder="1" applyAlignment="1">
      <x:alignment vertical="top" wrapText="1"/>
    </x:xf>
    <x:xf numFmtId="0" fontId="8" fillId="8" borderId="3" xfId="0" applyNumberFormat="1" applyFont="1" applyFill="1" applyBorder="1" applyAlignment="1">
      <x:alignment vertical="top" wrapText="1"/>
    </x:xf>
    <x:xf numFmtId="0" fontId="8" fillId="8" borderId="3" xfId="0" applyNumberFormat="1" applyFont="1" applyFill="1" applyBorder="1" applyAlignment="1">
      <x:alignment horizontal="center" vertical="top" wrapText="1"/>
    </x:xf>
    <x:xf numFmtId="0" fontId="4" fillId="9" borderId="2" xfId="0" applyNumberFormat="1" applyFont="1" applyFill="1" applyBorder="1" applyAlignment="1">
      <x:alignment vertical="top" wrapText="1"/>
    </x:xf>
    <x:xf numFmtId="0" fontId="4" fillId="9" borderId="3" xfId="0" applyNumberFormat="1" applyFont="1" applyFill="1" applyBorder="1" applyAlignment="1">
      <x:alignment vertical="top" wrapText="1"/>
    </x:xf>
    <x:xf numFmtId="0" fontId="9" fillId="9" borderId="2" xfId="0" applyNumberFormat="1" applyFont="1" applyFill="1" applyBorder="1" applyAlignment="1">
      <x:alignment vertical="top" wrapText="1"/>
    </x:xf>
    <x:xf numFmtId="0" fontId="9" fillId="9" borderId="3" xfId="0" applyNumberFormat="1" applyFont="1" applyFill="1" applyBorder="1" applyAlignment="1">
      <x:alignment vertical="top" wrapText="1"/>
    </x:xf>
    <x:xf numFmtId="0" fontId="9" fillId="9" borderId="2" xfId="0" applyNumberFormat="1" applyFont="1" applyFill="1" applyBorder="1" applyAlignment="1">
      <x:alignment horizontal="center" vertical="top" wrapText="1"/>
    </x:xf>
    <x:xf numFmtId="0" fontId="9" fillId="9" borderId="3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10" fillId="6" borderId="1" xfId="0" applyNumberFormat="1" applyFont="1" applyFill="1" applyBorder="1" applyAlignment="1">
      <x:alignment vertical="top" wrapText="1"/>
    </x:xf>
    <x:xf numFmtId="0" fontId="10" fillId="6" borderId="1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11" fillId="5" borderId="1" xfId="0" applyNumberFormat="1" applyFont="1" applyFill="1" applyBorder="1" applyAlignment="1">
      <x:alignment vertical="top" wrapText="1"/>
    </x:xf>
    <x:xf numFmtId="0" fontId="11" fillId="5" borderId="1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12" fillId="5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3" fillId="7" borderId="0" xfId="0" applyNumberFormat="1" applyFont="1" applyFill="1" applyBorder="1"/>
    <x:xf numFmtId="0" fontId="12" fillId="5" borderId="2" xfId="0" applyNumberFormat="1" applyFont="1" applyFill="1" applyBorder="1" applyAlignment="1">
      <x:alignment vertical="top" wrapText="1"/>
    </x:xf>
    <x:xf numFmtId="0" fontId="12" fillId="5" borderId="3" xfId="0" applyNumberFormat="1" applyFont="1" applyFill="1" applyBorder="1" applyAlignment="1">
      <x:alignment vertical="top" wrapText="1"/>
    </x:xf>
    <x:xf numFmtId="0" fontId="4" fillId="10" borderId="2" xfId="0" applyNumberFormat="1" applyFont="1" applyFill="1" applyBorder="1" applyAlignment="1">
      <x:alignment vertical="top" wrapText="1"/>
    </x:xf>
    <x:xf numFmtId="0" fontId="4" fillId="10" borderId="3" xfId="0" applyNumberFormat="1" applyFont="1" applyFill="1" applyBorder="1" applyAlignment="1">
      <x:alignment vertical="top" wrapText="1"/>
    </x:xf>
    <x:xf numFmtId="0" fontId="14" fillId="10" borderId="2" xfId="0" applyNumberFormat="1" applyFont="1" applyFill="1" applyBorder="1" applyAlignment="1">
      <x:alignment vertical="top" wrapText="1"/>
    </x:xf>
    <x:xf numFmtId="0" fontId="14" fillId="10" borderId="3" xfId="0" applyNumberFormat="1" applyFont="1" applyFill="1" applyBorder="1" applyAlignment="1">
      <x:alignment vertical="top" wrapText="1"/>
    </x:xf>
    <x:xf numFmtId="0" fontId="15" fillId="7" borderId="0" xfId="0" applyNumberFormat="1" applyFont="1" applyFill="1" applyBorder="1"/>
    <x:xf numFmtId="0" fontId="11" fillId="5" borderId="2" xfId="0" applyNumberFormat="1" applyFont="1" applyFill="1" applyBorder="1" applyAlignment="1">
      <x:alignment vertical="top" wrapText="1"/>
    </x:xf>
    <x:xf numFmtId="0" fontId="11" fillId="5" borderId="3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 wrapText="1"/>
    </x:xf>
    <x:xf numFmtId="0" fontId="10" fillId="6" borderId="2" xfId="0" applyNumberFormat="1" applyFont="1" applyFill="1" applyBorder="1" applyAlignment="1">
      <x:alignment vertical="top" wrapText="1"/>
    </x:xf>
    <x:xf numFmtId="0" fontId="10" fillId="6" borderId="3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13" fillId="7" borderId="0" xfId="0" applyNumberFormat="1" applyFont="1" applyFill="1" applyBorder="1" applyAlignment="1">
      <x:alignment vertical="top"/>
    </x:xf>
    <x:xf numFmtId="0" fontId="15" fillId="7" borderId="0" xfId="0" applyNumberFormat="1" applyFont="1" applyFill="1" applyBorder="1" applyAlignment="1">
      <x:alignment vertical="top"/>
    </x:xf>
  </x:cellXfs>
  <x:cellStyles count="1">
    <x:cellStyle name="Normal" xfId="0"/>
  </x:cellStyles>
  <x:dxfs count="11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25f4734b524cce" /><Relationship Type="http://schemas.openxmlformats.org/officeDocument/2006/relationships/theme" Target="/xl/theme/theme1.xml" Id="Ree803938da5b4ac6" /><Relationship Type="http://schemas.openxmlformats.org/officeDocument/2006/relationships/sharedStrings" Target="/xl/sharedStrings.xml" Id="R96ba5d71eca34955" /><Relationship Type="http://schemas.openxmlformats.org/officeDocument/2006/relationships/worksheet" Target="/xl/worksheets/sheet1.xml" Id="R4f2bb33820024c69" /><Relationship Type="http://schemas.openxmlformats.org/officeDocument/2006/relationships/worksheet" Target="/xl/worksheets/sheet2.xml" Id="Raba10aa80e394840" /><Relationship Type="http://schemas.openxmlformats.org/officeDocument/2006/relationships/worksheet" Target="/xl/worksheets/sheet3.xml" Id="R29236c6e3a4040d9" /><Relationship Type="http://schemas.openxmlformats.org/officeDocument/2006/relationships/worksheet" Target="/xl/worksheets/sheet4.xml" Id="Rc81f2d0b55854b30" /><Relationship Type="http://schemas.openxmlformats.org/officeDocument/2006/relationships/worksheet" Target="/xl/worksheets/sheet5.xml" Id="Reb2afc4b58584916" /><Relationship Type="http://schemas.openxmlformats.org/officeDocument/2006/relationships/worksheet" Target="/xl/worksheets/sheet6.xml" Id="Rd9dbef531b4e483f" /><Relationship Type="http://schemas.microsoft.com/office/2017/10/relationships/person" Target="/xl/persons/person.xml" Id="Raa7a2391eaf94bb9" /></Relationships>
</file>

<file path=xl/persons/person.xml><?xml version="1.0" encoding="utf-8"?>
<xltc:personList xmlns:xltc="http://schemas.microsoft.com/office/spreadsheetml/2018/threadedcomments">
  <xltc:person displayName="Nguyen Dan" id="{7C64561B-151E-4C16-992F-B671490F2F90}"/>
</xltc:personList>
</file>

<file path=xl/tables/table1.xml><?xml version="1.0" encoding="utf-8"?>
<x:table xmlns:x="http://schemas.openxmlformats.org/spreadsheetml/2006/main" id="1" name="LayoutBehaviorMatrix" displayName="LayoutBehaviorMatrix" ref="A5:Y30" headerRowCount="1" totalsRowCount="0" totalsRowShown="0">
  <x:autoFilter ref="A5:Y30"/>
  <x:tableColumns count="25">
    <x:tableColumn id="1" name="SCREEN-ID"/>
    <x:tableColumn id="2" name="Area"/>
    <x:tableColumn id="3" name="Màn hình / route"/>
    <x:tableColumn id="4" name="Template"/>
    <x:tableColumn id="5" name="Phục vụ ai"/>
    <x:tableColumn id="6" name="Giải quyết việc gì"/>
    <x:tableColumn id="7" name="Hành động chính"/>
    <x:tableColumn id="8" name="Thứ tự nội dung"/>
    <x:tableColumn id="9" name="Tại sao đặt như vậy"/>
    <x:tableColumn id="10" name="Thành phần tạo niềm tin"/>
    <x:tableColumn id="11" name="Rủi ro y tế"/>
    <x:tableColumn id="12" name="Guardrail an toàn"/>
    <x:tableColumn id="13" name="Trạng thái cần thiết kế"/>
    <x:tableColumn id="14" name="Desktop"/>
    <x:tableColumn id="15" name="Mobile / responsive"/>
    <x:tableColumn id="16" name="Acceptance criteria"/>
    <x:tableColumn id="17" name="Chỉ số đo lường"/>
    <x:tableColumn id="18" name="REQ"/>
    <x:tableColumn id="19" name="UC"/>
    <x:tableColumn id="20" name="FLOW"/>
    <x:tableColumn id="21" name="TEST"/>
    <x:tableColumn id="22" name="Decision State"/>
    <x:tableColumn id="23" name="Gate"/>
    <x:tableColumn id="24" name="Owner"/>
    <x:tableColumn id="25" name="Blocker / ghi ch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mplateSystem" displayName="TemplateSystem" ref="A5:N12" headerRowCount="1" totalsRowCount="0" totalsRowShown="0">
  <x:autoFilter ref="A5:N12"/>
  <x:tableColumns count="14">
    <x:tableColumn id="1" name="Template"/>
    <x:tableColumn id="2" name="Tên"/>
    <x:tableColumn id="3" name="Mục tiêu"/>
    <x:tableColumn id="4" name="Thứ tự khối"/>
    <x:tableColumn id="5" name="Desktop grid"/>
    <x:tableColumn id="6" name="Mobile"/>
    <x:tableColumn id="7" name="Navigation"/>
    <x:tableColumn id="8" name="Sidebar/rail"/>
    <x:tableColumn id="9" name="CTA"/>
    <x:tableColumn id="10" name="Trust"/>
    <x:tableColumn id="11" name="Cảnh báo"/>
    <x:tableColumn id="12" name="States"/>
    <x:tableColumn id="13" name="Màn hình dùng"/>
    <x:tableColumn id="14" name="Ghi ch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cessibilityCriteria" displayName="AccessibilityCriteria" ref="A5:G19" headerRowCount="1" totalsRowCount="0" totalsRowShown="0">
  <x:autoFilter ref="A5:G19"/>
  <x:tableColumns count="7">
    <x:tableColumn id="1" name="ID"/>
    <x:tableColumn id="2" name="Nhóm"/>
    <x:tableColumn id="3" name="Tiêu chí chấp nhận"/>
    <x:tableColumn id="4" name="Cách kiểm thử"/>
    <x:tableColumn id="5" name="Nguồn"/>
    <x:tableColumn id="6" name="Mức"/>
    <x:tableColumn id="7" name="Own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cisionGates" displayName="DecisionGates" ref="A5:H23" headerRowCount="1" totalsRowCount="0" totalsRowShown="0">
  <x:autoFilter ref="A5:H23"/>
  <x:tableColumns count="8">
    <x:tableColumn id="1" name="ID"/>
    <x:tableColumn id="2" name="Chủ đề"/>
    <x:tableColumn id="3" name="Quyết định cần có"/>
    <x:tableColumn id="4" name="Owner"/>
    <x:tableColumn id="5" name="Trạng thái"/>
    <x:tableColumn id="6" name="Ảnh hưởng"/>
    <x:tableColumn id="7" name="Điều kiện đóng"/>
    <x:tableColumn id="8" name="Không được làm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hangeLog" displayName="ChangeLog" ref="A5:I10" headerRowCount="1" totalsRowCount="0" totalsRowShown="0">
  <x:autoFilter ref="A5:I10"/>
  <x:tableColumns count="9">
    <x:tableColumn id="1" name="Ngày"/>
    <x:tableColumn id="2" name="Loại"/>
    <x:tableColumn id="3" name="Chủ đề"/>
    <x:tableColumn id="4" name="Trước"/>
    <x:tableColumn id="5" name="Sau"/>
    <x:tableColumn id="6" name="Trạng thái"/>
    <x:tableColumn id="7" name="Owner"/>
    <x:tableColumn id="8" name="Decision/Source"/>
    <x:tableColumn id="9" name="Tác độ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d9db5934d64e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f8d5b1c8de45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957c91f84647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e5386522b345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ae70b1d37e54c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09999656677246" hidden="0" customWidth="1"/>
    <x:col min="2" max="2" width="17.219999313354492" hidden="0" customWidth="1"/>
    <x:col min="3" max="3" width="23.329999923706055" hidden="0" customWidth="1"/>
    <x:col min="4" max="4" width="10.670000076293945" hidden="0" customWidth="1"/>
    <x:col min="5" max="5" width="12.779999732971191" hidden="0" customWidth="1"/>
    <x:col min="6" max="6" width="20" hidden="0" customWidth="1"/>
    <x:col min="7" max="7" width="16.110000610351562" hidden="0" customWidth="1"/>
    <x:col min="8" max="8" width="22.780000686645508" hidden="0" customWidth="1"/>
  </x:cols>
  <x:sheetData>
    <x:row r="1" ht="30" customHeight="1">
      <x:c r="A1" s="73" t="str">
        <x:v>CCHC · Layout &amp; Behavioral Design Matrix v0.1</x:v>
      </x:c>
      <x:c r="B1" s="73"/>
      <x:c r="C1" s="73"/>
      <x:c r="D1" s="73"/>
      <x:c r="E1" s="73"/>
      <x:c r="F1" s="73"/>
      <x:c r="G1" s="73"/>
      <x:c r="H1" s="73"/>
    </x:row>
    <x:row r="2" ht="34" customHeight="1">
      <x:c r="A2" s="74" t="str">
        <x:v>Bản thiết kế logic trước khi chỉnh HTML · Nguồn: Wireframe v6, Actor–UC–Flow v4, RTM và các quyết định phạm vi ngày 24–25/07/2026.</x:v>
      </x:c>
      <x:c r="B2" s="74"/>
      <x:c r="C2" s="74"/>
      <x:c r="D2" s="74"/>
      <x:c r="E2" s="74"/>
      <x:c r="F2" s="74"/>
      <x:c r="G2" s="74"/>
      <x:c r="H2" s="74"/>
    </x:row>
    <x:row r="3">
      <x:c r="A3" s="75"/>
      <x:c r="B3" s="75"/>
      <x:c r="C3" s="75"/>
      <x:c r="D3" s="75"/>
      <x:c r="E3" s="75"/>
      <x:c r="F3" s="75"/>
      <x:c r="G3" s="75"/>
      <x:c r="H3" s="75"/>
    </x:row>
    <x:row r="4" ht="34" customHeight="1">
      <x:c r="A4" s="76" t="str">
        <x:v>PHẠM VI HIỆN HÀNH</x:v>
      </x:c>
      <x:c r="B4" s="76" t="str">
        <x:v>GIÁ TRỊ</x:v>
      </x:c>
      <x:c r="C4" s="75"/>
      <x:c r="D4" s="76" t="str">
        <x:v>TRẠNG THÁI QUYẾT ĐỊNH</x:v>
      </x:c>
      <x:c r="E4" s="76" t="str">
        <x:v>SỐ LƯỢNG</x:v>
      </x:c>
      <x:c r="F4" s="75"/>
      <x:c r="G4" s="76" t="str">
        <x:v>GATE</x:v>
      </x:c>
      <x:c r="H4" s="76" t="str">
        <x:v>SỐ LƯỢNG</x:v>
      </x:c>
    </x:row>
    <x:row r="5">
      <x:c r="A5" s="19" t="str">
        <x:v>Tổng màn hình</x:v>
      </x:c>
      <x:c r="B5" s="25" t="n">
        <x:f>COUNTA('01_Ma_tran'!$A$6:$A$30)</x:f>
        <x:v>25</x:v>
      </x:c>
      <x:c r="C5" s="75"/>
      <x:c r="D5" s="19" t="str">
        <x:v>CHỐT</x:v>
      </x:c>
      <x:c r="E5" s="29" t="n">
        <x:f>COUNTIF('01_Ma_tran'!$V$6:$V$30,"CHỐT")</x:f>
        <x:v>5</x:v>
      </x:c>
      <x:c r="F5" s="75"/>
      <x:c r="G5" s="19" t="str">
        <x:v>WF-GO</x:v>
      </x:c>
      <x:c r="H5" s="40" t="n">
        <x:f>COUNTIF('01_Ma_tran'!$W$6:$W$30,"WF-GO")</x:f>
        <x:v>5</x:v>
      </x:c>
    </x:row>
    <x:row r="6">
      <x:c r="A6" s="20" t="str">
        <x:v>Public</x:v>
      </x:c>
      <x:c r="B6" s="26" t="n">
        <x:f>COUNTIF('01_Ma_tran'!$B$6:$B$30,"Public")</x:f>
        <x:v>13</x:v>
      </x:c>
      <x:c r="C6" s="75"/>
      <x:c r="D6" s="20" t="str">
        <x:v>PLACEHOLDER</x:v>
      </x:c>
      <x:c r="E6" s="32" t="n">
        <x:f>COUNTIF('01_Ma_tran'!$V$6:$V$30,"PLACEHOLDER")</x:f>
        <x:v>7</x:v>
      </x:c>
      <x:c r="F6" s="75"/>
      <x:c r="G6" s="20" t="str">
        <x:v>WF-GO CÓ ĐIỀU KIỆN</x:v>
      </x:c>
      <x:c r="H6" s="41" t="n">
        <x:f>COUNTIF('01_Ma_tran'!$W$6:$W$30,"WF-GO CÓ ĐIỀU KIỆN")</x:f>
        <x:v>6</x:v>
      </x:c>
    </x:row>
    <x:row r="7">
      <x:c r="A7" s="20" t="str">
        <x:v>CMS</x:v>
      </x:c>
      <x:c r="B7" s="26" t="n">
        <x:f>COUNTIF('01_Ma_tran'!$B$6:$B$30,"CMS")</x:f>
        <x:v>10</x:v>
      </x:c>
      <x:c r="C7" s="75"/>
      <x:c r="D7" s="20" t="str">
        <x:v>BLOCKER</x:v>
      </x:c>
      <x:c r="E7" s="35" t="n">
        <x:f>COUNTIF('01_Ma_tran'!$V$6:$V$30,"BLOCKER")</x:f>
        <x:v>13</x:v>
      </x:c>
      <x:c r="F7" s="75"/>
      <x:c r="G7" s="20" t="str">
        <x:v>BUILD-NO-GO</x:v>
      </x:c>
      <x:c r="H7" s="41" t="n">
        <x:f>COUNTIF('01_Ma_tran'!$W$6:$W$30,"BUILD-NO-GO")</x:f>
        <x:v>11</x:v>
      </x:c>
    </x:row>
    <x:row r="8">
      <x:c r="A8" s="20" t="str">
        <x:v>Governance</x:v>
      </x:c>
      <x:c r="B8" s="26" t="n">
        <x:f>COUNTIF('01_Ma_tran'!$B$6:$B$30,"Governance")</x:f>
        <x:v>2</x:v>
      </x:c>
      <x:c r="C8" s="75"/>
      <x:c r="D8" s="75"/>
      <x:c r="E8" s="75"/>
      <x:c r="F8" s="75"/>
      <x:c r="G8" s="20" t="str">
        <x:v>LAUNCH-NO-GO</x:v>
      </x:c>
      <x:c r="H8" s="41" t="n">
        <x:f>COUNTIF('01_Ma_tran'!$W$6:$W$30,"LAUNCH-NO-GO")</x:f>
        <x:v>3</x:v>
      </x:c>
    </x:row>
    <x:row r="9">
      <x:c r="A9" s="20" t="str">
        <x:v>Template dùng chung</x:v>
      </x:c>
      <x:c r="B9" s="26" t="n">
        <x:f>COUNTA('02_Template'!$A$6:$A$12)</x:f>
        <x:v>7</x:v>
      </x:c>
      <x:c r="C9" s="75"/>
      <x:c r="D9" s="75"/>
      <x:c r="E9" s="75"/>
      <x:c r="F9" s="75"/>
      <x:c r="G9" s="75"/>
      <x:c r="H9" s="75"/>
    </x:row>
    <x:row r="10">
      <x:c r="A10" s="75"/>
      <x:c r="B10" s="75"/>
      <x:c r="C10" s="75"/>
      <x:c r="D10" s="75"/>
      <x:c r="E10" s="75"/>
      <x:c r="F10" s="75"/>
      <x:c r="G10" s="75"/>
      <x:c r="H10" s="75"/>
    </x:row>
    <x:row r="11" ht="34" customHeight="1">
      <x:c r="A11" s="76" t="str">
        <x:v>CÁC QUYẾT ĐỊNH ĐANG ĐƯỢC ÁP DỤNG</x:v>
      </x:c>
      <x:c r="B11" s="76"/>
      <x:c r="C11" s="76"/>
      <x:c r="D11" s="76"/>
      <x:c r="E11" s="76"/>
      <x:c r="F11" s="76"/>
      <x:c r="G11" s="76"/>
      <x:c r="H11" s="76"/>
    </x:row>
    <x:row r="12" ht="72" customHeight="1">
      <x:c r="A12" s="50" t="str">
        <x:v>1</x:v>
      </x:c>
      <x:c r="B12" s="44" t="str">
        <x:v>Website là nền tảng phát ngôn gốc</x:v>
      </x:c>
      <x:c r="C12" s="44" t="str">
        <x:v>Không chỉ là trang giới thiệu; phải nối tri thức, chuyên gia, minh bạch và hành động tiếp theo an toàn.</x:v>
      </x:c>
      <x:c r="D12" s="47" t="str">
        <x:v>CHỐT</x:v>
      </x:c>
      <x:c r="E12" s="44" t="str">
        <x:v>Toàn site</x:v>
      </x:c>
      <x:c r="F12" s="44" t="str">
        <x:v>RTM/TL1–TL6</x:v>
      </x:c>
      <x:c r="G12" s="44" t="str">
        <x:v>CCHC</x:v>
      </x:c>
      <x:c r="H12" s="44" t="str">
        <x:v>Giữ xuyên suốt</x:v>
      </x:c>
    </x:row>
    <x:row r="13" ht="72" customHeight="1">
      <x:c r="A13" s="50" t="str">
        <x:v>2</x:v>
      </x:c>
      <x:c r="B13" s="44" t="str">
        <x:v>Không trực tiếp cung cấp CME</x:v>
      </x:c>
      <x:c r="C13" s="44" t="str">
        <x:v>CCHC chỉ quảng bá/kết nối chương trình đào tạo do đối tác chịu trách nhiệm chuyên môn, tổ chức, thu phí và cấp chứng nhận.</x:v>
      </x:c>
      <x:c r="D13" s="47" t="str">
        <x:v>CHỐT</x:v>
      </x:c>
      <x:c r="E13" s="44" t="str">
        <x:v>Public + CMS</x:v>
      </x:c>
      <x:c r="F13" s="44" t="str">
        <x:v>Quyết định họp 24/07/2026</x:v>
      </x:c>
      <x:c r="G13" s="44" t="str">
        <x:v>BGĐ</x:v>
      </x:c>
      <x:c r="H13" s="44" t="str">
        <x:v>Thay thế giả định CME/đào tạo trực tiếp trong tài liệu cũ</x:v>
      </x:c>
    </x:row>
    <x:row r="14" ht="72" customHeight="1">
      <x:c r="A14" s="50" t="str">
        <x:v>3</x:v>
      </x:c>
      <x:c r="B14" s="44" t="str">
        <x:v>Loại khỏi phạm vi đào tạo</x:v>
      </x:c>
      <x:c r="C14" s="44" t="str">
        <x:v>Không LMS; không bài kiểm tra/lưu tiến độ; không thanh toán; không cấp chứng nhận; không dashboard học tập.</x:v>
      </x:c>
      <x:c r="D14" s="47" t="str">
        <x:v>CHỐT</x:v>
      </x:c>
      <x:c r="E14" s="44" t="str">
        <x:v>Scope</x:v>
      </x:c>
      <x:c r="F14" s="44" t="str">
        <x:v>DEC-SCOPE-TRN-001</x:v>
      </x:c>
      <x:c r="G14" s="44" t="str">
        <x:v>BGĐ</x:v>
      </x:c>
      <x:c r="H14" s="44" t="str">
        <x:v>CTA dẫn đối tác hoặc yêu cầu kết nối</x:v>
      </x:c>
    </x:row>
    <x:row r="15" ht="72" customHeight="1">
      <x:c r="A15" s="50" t="str">
        <x:v>4</x:v>
      </x:c>
      <x:c r="B15" s="44" t="str">
        <x:v>Accessibility baseline</x:v>
      </x:c>
      <x:c r="C15" s="44" t="str">
        <x:v>Tuân thủ quy định Việt Nam hiện hành; WCAG 2.2 AA là nền kỹ thuật; bổ sung tiêu chí thích ứng người cao tuổi từ thông lệ quốc tế.</x:v>
      </x:c>
      <x:c r="D15" s="47" t="str">
        <x:v>CHỐT</x:v>
      </x:c>
      <x:c r="E15" s="44" t="str">
        <x:v>Public + CMS</x:v>
      </x:c>
      <x:c r="F15" s="44" t="str">
        <x:v>GAP-005 / ACC-BASE-001</x:v>
      </x:c>
      <x:c r="G15" s="44" t="str">
        <x:v>UX/QA</x:v>
      </x:c>
      <x:c r="H15" s="44" t="str">
        <x:v>Cần kiểm thử với người dùng Việt Nam</x:v>
      </x:c>
    </x:row>
    <x:row r="16" ht="72" customHeight="1">
      <x:c r="A16" s="50" t="str">
        <x:v>5</x:v>
      </x:c>
      <x:c r="B16" s="44" t="str">
        <x:v>Wireframe và build</x:v>
      </x:c>
      <x:c r="C16" s="44" t="str">
        <x:v>Wireframe v6 được phép tiếp tục; build/launch vẫn NO-GO tại các mục pháp lý, dữ liệu, safety copy, quyền và workflow chưa duyệt.</x:v>
      </x:c>
      <x:c r="D16" s="47" t="str">
        <x:v>CHỐT</x:v>
      </x:c>
      <x:c r="E16" s="44" t="str">
        <x:v>Governance</x:v>
      </x:c>
      <x:c r="F16" s="44" t="str">
        <x:v>P0 Decision Log</x:v>
      </x:c>
      <x:c r="G16" s="44" t="str">
        <x:v>BGĐ/HĐKH/Legal</x:v>
      </x:c>
      <x:c r="H16" s="44" t="str">
        <x:v>Không biến placeholder thành sự thật</x:v>
      </x:c>
    </x:row>
    <x:row r="17">
      <x:c r="A17" s="75"/>
      <x:c r="B17" s="75"/>
      <x:c r="C17" s="75"/>
      <x:c r="D17" s="75"/>
      <x:c r="E17" s="75"/>
      <x:c r="F17" s="75"/>
      <x:c r="G17" s="75"/>
      <x:c r="H17" s="75"/>
    </x:row>
    <x:row r="18" ht="34" customHeight="1">
      <x:c r="A18" s="76" t="str">
        <x:v>CÁCH DÙNG</x:v>
      </x:c>
      <x:c r="B18" s="76"/>
      <x:c r="C18" s="76"/>
      <x:c r="D18" s="76"/>
      <x:c r="E18" s="76"/>
      <x:c r="F18" s="76"/>
      <x:c r="G18" s="76"/>
      <x:c r="H18" s="76"/>
    </x:row>
    <x:row r="19" ht="46" customHeight="1">
      <x:c r="A19" s="56" t="str">
        <x:v>Bước 1</x:v>
      </x:c>
      <x:c r="B19" s="54" t="str">
        <x:v>Lọc theo Area / Template</x:v>
      </x:c>
      <x:c r="C19" s="54" t="str">
        <x:v>Xem các màn hình dùng chung cấu trúc nào; không thiết kế từng màn hình như một sản phẩm riêng.</x:v>
      </x:c>
      <x:c r="D19" s="54" t="str"/>
      <x:c r="E19" s="54" t="str"/>
      <x:c r="F19" s="54" t="str"/>
      <x:c r="G19" s="54" t="str"/>
      <x:c r="H19" s="54" t="str"/>
    </x:row>
    <x:row r="20" ht="46" customHeight="1">
      <x:c r="A20" s="56" t="str">
        <x:v>Bước 2</x:v>
      </x:c>
      <x:c r="B20" s="54" t="str">
        <x:v>Đọc ba cột Người dùng – Việc cần giải quyết – Lý do đặt</x:v>
      </x:c>
      <x:c r="C20" s="54" t="str">
        <x:v>Đây là hạt nhân của quyết định layout và hành vi.</x:v>
      </x:c>
      <x:c r="D20" s="54" t="str"/>
      <x:c r="E20" s="54" t="str"/>
      <x:c r="F20" s="54" t="str"/>
      <x:c r="G20" s="54" t="str"/>
      <x:c r="H20" s="54" t="str"/>
    </x:row>
    <x:row r="21" ht="46" customHeight="1">
      <x:c r="A21" s="56" t="str">
        <x:v>Bước 3</x:v>
      </x:c>
      <x:c r="B21" s="54" t="str">
        <x:v>Kiểm tra Decision State và Gate</x:v>
      </x:c>
      <x:c r="C21" s="54" t="str">
        <x:v>CHỐT có thể triển khai; PLACEHOLDER chỉ được mô phỏng; BLOCKER không được biến thành nội dung/cấu hình thật.</x:v>
      </x:c>
      <x:c r="D21" s="54" t="str"/>
      <x:c r="E21" s="54" t="str"/>
      <x:c r="F21" s="54" t="str"/>
      <x:c r="G21" s="54" t="str"/>
      <x:c r="H21" s="54" t="str"/>
    </x:row>
    <x:row r="22" ht="46" customHeight="1">
      <x:c r="A22" s="56" t="str">
        <x:v>Bước 4</x:v>
      </x:c>
      <x:c r="B22" s="54" t="str">
        <x:v>Giữ chuỗi truy xuất</x:v>
      </x:c>
      <x:c r="C22" s="54" t="str">
        <x:v>Mọi thay đổi phải cập nhật đồng thời REQ → UC → FLOW → SCREEN → TEST.</x:v>
      </x:c>
      <x:c r="D22" s="54" t="str"/>
      <x:c r="E22" s="54" t="str"/>
      <x:c r="F22" s="54" t="str"/>
      <x:c r="G22" s="54" t="str"/>
      <x:c r="H22" s="54" t="str"/>
    </x:row>
  </x:sheetData>
  <x:mergeCells>
    <x:mergeCell ref="A1:H1"/>
    <x:mergeCell ref="A2:H2"/>
    <x:mergeCell ref="A11:H11"/>
    <x:mergeCell ref="A18:H18"/>
    <x:mergeCell ref="C19:H19"/>
    <x:mergeCell ref="C20:H20"/>
    <x:mergeCell ref="C21:H21"/>
    <x:mergeCell ref="C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09999656677246" hidden="0" customWidth="1"/>
    <x:col min="2" max="2" width="8.670000076293945" hidden="0" customWidth="1"/>
    <x:col min="3" max="3" width="16.670000076293945" hidden="0" customWidth="1"/>
    <x:col min="4" max="4" width="8" hidden="0" customWidth="1"/>
    <x:col min="5" max="5" width="18.889999389648438" hidden="0" customWidth="1"/>
    <x:col min="6" max="6" width="21.110000610351562" hidden="0" customWidth="1"/>
    <x:col min="7" max="7" width="20" hidden="0" customWidth="1"/>
    <x:col min="8" max="8" width="26.670000076293945" hidden="0" customWidth="1"/>
    <x:col min="9" max="9" width="25.559999465942383" hidden="0" customWidth="1"/>
    <x:col min="10" max="10" width="23.329999923706055" hidden="0" customWidth="1"/>
    <x:col min="11" max="11" width="10.670000076293945" hidden="0" customWidth="1"/>
    <x:col min="12" max="12" width="26.110000610351562" hidden="0" customWidth="1"/>
    <x:col min="13" max="13" width="23.329999923706055" hidden="0" customWidth="1"/>
    <x:col min="14" max="14" width="22.219999313354492" hidden="0" customWidth="1"/>
    <x:col min="15" max="15" width="23.329999923706055" hidden="0" customWidth="1"/>
    <x:col min="16" max="16" width="20" hidden="0" customWidth="1"/>
    <x:col min="17" max="17" width="19.440000534057617" hidden="0" customWidth="1"/>
    <x:col min="18" max="18" width="16.670000076293945" hidden="0" customWidth="1"/>
    <x:col min="19" max="19" width="16.110000610351562" hidden="0" customWidth="1"/>
    <x:col min="20" max="20" width="14.4399995803833" hidden="0" customWidth="1"/>
    <x:col min="21" max="21" width="16.670000076293945" hidden="0" customWidth="1"/>
    <x:col min="22" max="22" width="11.109999656677246" hidden="0" customWidth="1"/>
    <x:col min="23" max="23" width="14.4399995803833" hidden="0" customWidth="1"/>
    <x:col min="24" max="24" width="17.219999313354492" hidden="0" customWidth="1"/>
    <x:col min="25" max="25" width="26.670000076293945" hidden="0" customWidth="1"/>
  </x:cols>
  <x:sheetData>
    <x:row r="1" ht="30" customHeight="1">
      <x:c r="A1" s="73" t="str">
        <x:v>01 · Layout &amp; Behavioral Design Matrix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</x:row>
    <x:row r="2" ht="34" customHeight="1">
      <x:c r="A2" s="74" t="str">
        <x:v>Mỗi hàng phải trả lời: phục vụ ai – giải quyết việc gì – tại sao đặt ở đây. Decision State không thay thế phê duyệt chính thức.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  <x:c r="O2" s="74"/>
      <x:c r="P2" s="74"/>
      <x:c r="Q2" s="74"/>
      <x:c r="R2" s="74"/>
      <x:c r="S2" s="74"/>
      <x:c r="T2" s="74"/>
      <x:c r="U2" s="74"/>
      <x:c r="V2" s="74"/>
      <x:c r="W2" s="74"/>
      <x:c r="X2" s="74"/>
      <x:c r="Y2" s="74"/>
    </x:row>
    <x:row r="3">
      <x:c r="A3" s="75"/>
      <x:c r="B3" s="75"/>
      <x:c r="C3" s="75"/>
      <x:c r="D3" s="75"/>
      <x:c r="E3" s="75"/>
      <x:c r="F3" s="75"/>
      <x:c r="G3" s="75"/>
      <x:c r="H3" s="75"/>
      <x:c r="I3" s="75"/>
      <x:c r="J3" s="75"/>
      <x:c r="K3" s="75"/>
      <x:c r="L3" s="75"/>
      <x:c r="M3" s="75"/>
      <x:c r="N3" s="75"/>
      <x:c r="O3" s="75"/>
      <x:c r="P3" s="75"/>
      <x:c r="Q3" s="75"/>
      <x:c r="R3" s="75"/>
      <x:c r="S3" s="75"/>
      <x:c r="T3" s="75"/>
      <x:c r="U3" s="75"/>
      <x:c r="V3" s="75"/>
      <x:c r="W3" s="75"/>
      <x:c r="X3" s="75"/>
      <x:c r="Y3" s="75"/>
    </x:row>
    <x:row r="4">
      <x:c r="A4" s="77" t="str">
        <x:v>BỘ LỌC CHÍNH: Area · Template · Rủi ro y tế · Decision State · Gate · Owner</x:v>
      </x:c>
      <x:c r="B4" s="77"/>
      <x:c r="C4" s="77"/>
      <x:c r="D4" s="77"/>
      <x:c r="E4" s="77"/>
      <x:c r="F4" s="77"/>
      <x:c r="G4" s="77"/>
      <x:c r="H4" s="77"/>
      <x:c r="I4" s="77"/>
      <x:c r="J4" s="77"/>
      <x:c r="K4" s="77"/>
      <x:c r="L4" s="77"/>
      <x:c r="M4" s="77"/>
      <x:c r="N4" s="77"/>
      <x:c r="O4" s="77"/>
      <x:c r="P4" s="77"/>
      <x:c r="Q4" s="77"/>
      <x:c r="R4" s="77"/>
      <x:c r="S4" s="77"/>
      <x:c r="T4" s="77"/>
      <x:c r="U4" s="77"/>
      <x:c r="V4" s="77"/>
      <x:c r="W4" s="77"/>
      <x:c r="X4" s="77"/>
      <x:c r="Y4" s="77"/>
    </x:row>
    <x:row r="5" ht="34" customHeight="1">
      <x:c r="A5" s="76" t="str">
        <x:v>SCREEN-ID</x:v>
      </x:c>
      <x:c r="B5" s="76" t="str">
        <x:v>Area</x:v>
      </x:c>
      <x:c r="C5" s="76" t="str">
        <x:v>Màn hình / route</x:v>
      </x:c>
      <x:c r="D5" s="76" t="str">
        <x:v>Template</x:v>
      </x:c>
      <x:c r="E5" s="76" t="str">
        <x:v>Phục vụ ai</x:v>
      </x:c>
      <x:c r="F5" s="76" t="str">
        <x:v>Giải quyết việc gì</x:v>
      </x:c>
      <x:c r="G5" s="76" t="str">
        <x:v>Hành động chính</x:v>
      </x:c>
      <x:c r="H5" s="76" t="str">
        <x:v>Thứ tự nội dung</x:v>
      </x:c>
      <x:c r="I5" s="76" t="str">
        <x:v>Tại sao đặt như vậy</x:v>
      </x:c>
      <x:c r="J5" s="76" t="str">
        <x:v>Thành phần tạo niềm tin</x:v>
      </x:c>
      <x:c r="K5" s="76" t="str">
        <x:v>Rủi ro y tế</x:v>
      </x:c>
      <x:c r="L5" s="76" t="str">
        <x:v>Guardrail an toàn</x:v>
      </x:c>
      <x:c r="M5" s="76" t="str">
        <x:v>Trạng thái cần thiết kế</x:v>
      </x:c>
      <x:c r="N5" s="76" t="str">
        <x:v>Desktop</x:v>
      </x:c>
      <x:c r="O5" s="76" t="str">
        <x:v>Mobile / responsive</x:v>
      </x:c>
      <x:c r="P5" s="76" t="str">
        <x:v>Acceptance criteria</x:v>
      </x:c>
      <x:c r="Q5" s="76" t="str">
        <x:v>Chỉ số đo lường</x:v>
      </x:c>
      <x:c r="R5" s="76" t="str">
        <x:v>REQ</x:v>
      </x:c>
      <x:c r="S5" s="76" t="str">
        <x:v>UC</x:v>
      </x:c>
      <x:c r="T5" s="76" t="str">
        <x:v>FLOW</x:v>
      </x:c>
      <x:c r="U5" s="76" t="str">
        <x:v>TEST</x:v>
      </x:c>
      <x:c r="V5" s="76" t="str">
        <x:v>Decision State</x:v>
      </x:c>
      <x:c r="W5" s="76" t="str">
        <x:v>Gate</x:v>
      </x:c>
      <x:c r="X5" s="76" t="str">
        <x:v>Owner</x:v>
      </x:c>
      <x:c r="Y5" s="76" t="str">
        <x:v>Blocker / ghi chú</x:v>
      </x:c>
    </x:row>
    <x:row r="6" ht="78" customHeight="1">
      <x:c r="A6" s="59" t="str">
        <x:v>SCR-P01</x:v>
      </x:c>
      <x:c r="B6" s="19" t="str">
        <x:v>Public</x:v>
      </x:c>
      <x:c r="C6" s="19" t="str">
        <x:v>Trang chủ
/</x:v>
      </x:c>
      <x:c r="D6" s="63" t="str">
        <x:v>LT-01</x:v>
      </x:c>
      <x:c r="E6" s="19" t="str">
        <x:v>8 nhóm công chúng</x:v>
      </x:c>
      <x:c r="F6" s="19" t="str">
        <x:v>Nhận diện CCHC và đi đúng lối vào trong ≤2 lựa chọn</x:v>
      </x:c>
      <x:c r="G6" s="19" t="str">
        <x:v>Chọn nhóm nhu cầu hoặc bắt đầu tìm kiếm</x:v>
      </x:c>
      <x:c r="H6" s="19" t="str">
        <x:v>Định vị → tìm kiếm → 8 lối vào → chủ đề ưu tiên → bằng chứng/niềm tin → CTA an toàn</x:v>
      </x:c>
      <x:c r="I6" s="19" t="str">
        <x:v>Tạo định hướng trước khi người dùng gặp nội dung y tế; lối an toàn xuất hiện sớm nhưng không lấn át mục tiêu chính</x:v>
      </x:c>
      <x:c r="J6" s="19" t="str">
        <x:v>Tư cách; quan hệ Tổng hội; HĐKH; nguồn; ngày cập nhật; AI/tài trợ</x:v>
      </x:c>
      <x:c r="K6" s="19" t="str">
        <x:v>Trung bình</x:v>
      </x:c>
      <x:c r="L6" s="19" t="str">
        <x:v>Không chẩn đoán; CTA “Khi nào cần đi khám” cố định; không ép đăng nhập</x:v>
      </x:c>
      <x:c r="M6" s="19" t="str">
        <x:v>Mặc định; module thiếu nội dung; tìm kiếm đang tải; offline</x:v>
      </x:c>
      <x:c r="N6" s="19" t="str">
        <x:v>Hero 2 cột; grid lối vào; trust strip; footer pháp lý</x:v>
      </x:c>
      <x:c r="O6" s="19" t="str">
        <x:v>1 cột; lối vào theo nhóm; CTA an toàn dễ chạm; không carousel tự chạy</x:v>
      </x:c>
      <x:c r="P6" s="19" t="str">
        <x:v>ACC-01…07; ACC-11…13</x:v>
      </x:c>
      <x:c r="Q6" s="19" t="str">
        <x:v>audience_entry_click; search_start; safety_cta; trusted_content_open</x:v>
      </x:c>
      <x:c r="R6" s="19" t="str">
        <x:v>UX-001; UX-002; UX-003; UX-004; UX-005; UX-007</x:v>
      </x:c>
      <x:c r="S6" s="19" t="str">
        <x:v>PUC-001; PUC-008; PUC-009; PUC-013; PUC-016; PUC-017</x:v>
      </x:c>
      <x:c r="T6" s="19" t="str">
        <x:v>FLOW-01/04/05/06</x:v>
      </x:c>
      <x:c r="U6" s="19" t="str">
        <x:v>TC-UX-001…005; TC-UX-007</x:v>
      </x:c>
      <x:c r="V6" s="19" t="str">
        <x:v>CHỐT</x:v>
      </x:c>
      <x:c r="W6" s="19" t="str">
        <x:v>WF-GO</x:v>
      </x:c>
      <x:c r="X6" s="19" t="str">
        <x:v>Product Owner</x:v>
      </x:c>
      <x:c r="Y6" s="19" t="str">
        <x:v>Copy pháp lý vẫn dùng placeholder tại header/footer</x:v>
      </x:c>
    </x:row>
    <x:row r="7" ht="78" customHeight="1">
      <x:c r="A7" s="60" t="str">
        <x:v>SCR-P02</x:v>
      </x:c>
      <x:c r="B7" s="20" t="str">
        <x:v>Public</x:v>
      </x:c>
      <x:c r="C7" s="20" t="str">
        <x:v>Tìm kiếm sức khỏe
/tim-kiem</x:v>
      </x:c>
      <x:c r="D7" s="64" t="str">
        <x:v>LT-02</x:v>
      </x:c>
      <x:c r="E7" s="20" t="str">
        <x:v>Người dân; người chăm sóc; chuyên gia</x:v>
      </x:c>
      <x:c r="F7" s="20" t="str">
        <x:v>Tìm nội dung đúng dù dùng từ phổ thông, sai chính tả hoặc từ đồng nghĩa</x:v>
      </x:c>
      <x:c r="G7" s="20" t="str">
        <x:v>Tìm, lọc và mở hồ sơ/bài phù hợp</x:v>
      </x:c>
      <x:c r="H7" s="20" t="str">
        <x:v>Ô tìm kiếm → safety intercept → bộ lọc → kết quả → lý do phù hợp → gợi ý khi không có kết quả</x:v>
      </x:c>
      <x:c r="I7" s="20" t="str">
        <x:v>Safety intercept đứng trước kết quả khi truy vấn có tín hiệu khẩn; bộ lọc đứng sau intent</x:v>
      </x:c>
      <x:c r="J7" s="20" t="str">
        <x:v>Nguồn; evidence; phản biện; ngày rà soát; nhãn dữ liệu mẫu</x:v>
      </x:c>
      <x:c r="K7" s="20" t="str">
        <x:v>Cao</x:v>
      </x:c>
      <x:c r="L7" s="20" t="str">
        <x:v>Không suy diễn triệu chứng; không cá nhân hóa; truy vấn khẩn chuyển tới nội dung tĩnh đã duyệt</x:v>
      </x:c>
      <x:c r="M7" s="20" t="str">
        <x:v>Mặc định; đang tải; có kết quả; không kết quả; lỗi; truy vấn khẩn</x:v>
      </x:c>
      <x:c r="N7" s="20" t="str">
        <x:v>Sidebar filter + danh sách; trạng thái URL chia sẻ được</x:v>
      </x:c>
      <x:c r="O7" s="20" t="str">
        <x:v>Filter thành drawer/accordion; giữ truy vấn; kết quả 1 cột; nút clear rõ</x:v>
      </x:c>
      <x:c r="P7" s="20" t="str">
        <x:v>ACC-01…10; ACC-12; ACC-13</x:v>
      </x:c>
      <x:c r="Q7" s="20" t="str">
        <x:v>search_success; zero_result; filter_use; result_open; safety_intercept</x:v>
      </x:c>
      <x:c r="R7" s="20" t="str">
        <x:v>UX-006; TAX-010; LEG-012</x:v>
      </x:c>
      <x:c r="S7" s="20" t="str">
        <x:v>PUC-001; PUC-002; PUC-005</x:v>
      </x:c>
      <x:c r="T7" s="20" t="str">
        <x:v>FLOW-01/02</x:v>
      </x:c>
      <x:c r="U7" s="20" t="str">
        <x:v>TC-UX-006; TC-TAX-010; TC-LEG-012</x:v>
      </x:c>
      <x:c r="V7" s="20" t="str">
        <x:v>PLACEHOLDER</x:v>
      </x:c>
      <x:c r="W7" s="20" t="str">
        <x:v>WF-GO CÓ ĐIỀU KIỆN</x:v>
      </x:c>
      <x:c r="X7" s="20" t="str">
        <x:v>Product Owner + Medical Editor</x:v>
      </x:c>
      <x:c r="Y7" s="20" t="str">
        <x:v>GAP-018; GAP-019 · corpus và copy safety chờ HĐKH</x:v>
      </x:c>
    </x:row>
    <x:row r="8" ht="78" customHeight="1">
      <x:c r="A8" s="60" t="str">
        <x:v>SCR-P03</x:v>
      </x:c>
      <x:c r="B8" s="20" t="str">
        <x:v>Public</x:v>
      </x:c>
      <x:c r="C8" s="20" t="str">
        <x:v>Hồ sơ chủ đề
/chu-de/[slug]</x:v>
      </x:c>
      <x:c r="D8" s="64" t="str">
        <x:v>LT-03</x:v>
      </x:c>
      <x:c r="E8" s="20" t="str">
        <x:v>Người dân; người chăm sóc; báo chí; chuyên gia</x:v>
      </x:c>
      <x:c r="F8" s="20" t="str">
        <x:v>Hiểu một chủ đề từ định nghĩa đến bước tiếp theo an toàn</x:v>
      </x:c>
      <x:c r="G8" s="20" t="str">
        <x:v>Mở nội dung liên quan hoặc CTA an toàn</x:v>
      </x:c>
      <x:c r="H8" s="20" t="str">
        <x:v>Tóm tắt → dữ liệu Việt Nam → nội dung theo nhu cầu → chuyên gia → nguồn → bước tiếp theo</x:v>
      </x:c>
      <x:c r="I8" s="20" t="str">
        <x:v>Tóm tắt và dữ liệu bối cảnh trả lời “đây là gì”; nguồn/kiểm định xuất hiện trước CTA mở rộng</x:v>
      </x:c>
      <x:c r="J8" s="20" t="str">
        <x:v>Nguồn chính; ngày rà soát; người phản biện; phạm vi áp dụng</x:v>
      </x:c>
      <x:c r="K8" s="20" t="str">
        <x:v>Trung bình</x:v>
      </x:c>
      <x:c r="L8" s="20" t="str">
        <x:v>Không biến dữ liệu dịch tễ thành dự báo cá nhân; nêu rõ thiếu dữ liệu Việt Nam</x:v>
      </x:c>
      <x:c r="M8" s="20" t="str">
        <x:v>Đủ dữ liệu; thiếu dữ liệu VN; nội dung đang cập nhật; link nguồn lỗi</x:v>
      </x:c>
      <x:c r="N8" s="20" t="str">
        <x:v>Main content + rail chuyên gia/safety</x:v>
      </x:c>
      <x:c r="O8" s="20" t="str">
        <x:v>Một cột; safety callout sau tóm tắt; rail chuyển thành section</x:v>
      </x:c>
      <x:c r="P8" s="20" t="str">
        <x:v>ACC-01…09; ACC-11; ACC-12</x:v>
      </x:c>
      <x:c r="Q8" s="20" t="str">
        <x:v>topic_depth; related_open; expert_open; safety_cta</x:v>
      </x:c>
      <x:c r="R8" s="20" t="str">
        <x:v>IA-020; TAX-006</x:v>
      </x:c>
      <x:c r="S8" s="20" t="str">
        <x:v>PUC-003; PUC-024</x:v>
      </x:c>
      <x:c r="T8" s="20" t="str">
        <x:v>FLOW-01</x:v>
      </x:c>
      <x:c r="U8" s="20" t="str">
        <x:v>TC-IA-020; TC-TAX-006</x:v>
      </x:c>
      <x:c r="V8" s="20" t="str">
        <x:v>CHỐT</x:v>
      </x:c>
      <x:c r="W8" s="20" t="str">
        <x:v>WF-GO</x:v>
      </x:c>
      <x:c r="X8" s="20" t="str">
        <x:v>Content Lead + Medical Editor</x:v>
      </x:c>
      <x:c r="Y8" s="20" t="str">
        <x:v>Dữ liệu/chủ đề cụ thể vẫn theo inventory launch</x:v>
      </x:c>
    </x:row>
    <x:row r="9" ht="78" customHeight="1">
      <x:c r="A9" s="60" t="str">
        <x:v>SCR-P04</x:v>
      </x:c>
      <x:c r="B9" s="20" t="str">
        <x:v>Public</x:v>
      </x:c>
      <x:c r="C9" s="20" t="str">
        <x:v>Bài viết sức khỏe
/bai-viet/[slug]</x:v>
      </x:c>
      <x:c r="D9" s="64" t="str">
        <x:v>LT-03</x:v>
      </x:c>
      <x:c r="E9" s="20" t="str">
        <x:v>Người dân; người chăm sóc; báo chí</x:v>
      </x:c>
      <x:c r="F9" s="20" t="str">
        <x:v>Đọc nội dung có bảo chứng và biết giới hạn áp dụng</x:v>
      </x:c>
      <x:c r="G9" s="20" t="str">
        <x:v>Đọc; xem nguồn; báo sai sót; tới bước an toàn</x:v>
      </x:c>
      <x:c r="H9" s="20" t="str">
        <x:v>Kết luận ngắn → nội dung → safety callout → tác giả/phản biện → nguồn → lịch sử sửa → nội dung liên quan</x:v>
      </x:c>
      <x:c r="I9" s="20" t="str">
        <x:v>Kết luận sớm hỗ trợ người đọc hạn chế sức khỏe; provenance đặt gần nội dung chứ không chôn ở footer</x:v>
      </x:c>
      <x:c r="J9" s="20" t="str">
        <x:v>Tác giả; phản biện; evidence; nguồn; tài trợ/COI; AI; ngày duyệt; correction log</x:v>
      </x:c>
      <x:c r="K9" s="20" t="str">
        <x:v>Cao</x:v>
      </x:c>
      <x:c r="L9" s="20" t="str">
        <x:v>Không kê đơn; không thay thế khám; CTA báo sai sót gắn Content ID; không sửa âm thầm</x:v>
      </x:c>
      <x:c r="M9" s="20" t="str">
        <x:v>Mặc định; đính chính; nội dung cũ; nguồn lỗi; chế độ in</x:v>
      </x:c>
      <x:c r="N9" s="20" t="str">
        <x:v>Article + sticky TOC/credit rail; correction banner trên đầu</x:v>
      </x:c>
      <x:c r="O9" s="20" t="str">
        <x:v>Một cột; TOC thu gọn; credit box liền nội dung; nút báo lỗi dễ chạm</x:v>
      </x:c>
      <x:c r="P9" s="20" t="str">
        <x:v>ACC-01…12; ACC-14</x:v>
      </x:c>
      <x:c r="Q9" s="20" t="str">
        <x:v>read_50; read_complete; source_open; correction_open; safety_cta</x:v>
      </x:c>
      <x:c r="R9" s="20" t="str">
        <x:v>PUB-001; PUB-002; PUB-003; PUB-012; UX-008</x:v>
      </x:c>
      <x:c r="S9" s="20" t="str">
        <x:v>PUC-004; PUC-006</x:v>
      </x:c>
      <x:c r="T9" s="20" t="str">
        <x:v>FLOW-01/03</x:v>
      </x:c>
      <x:c r="U9" s="20" t="str">
        <x:v>TC-PUB-001…003; TC-PUB-012; TC-UX-008</x:v>
      </x:c>
      <x:c r="V9" s="20" t="str">
        <x:v>CHỐT</x:v>
      </x:c>
      <x:c r="W9" s="20" t="str">
        <x:v>WF-GO</x:v>
      </x:c>
      <x:c r="X9" s="20" t="str">
        <x:v>Editorial Lead + Medical Editor</x:v>
      </x:c>
      <x:c r="Y9" s="20" t="str">
        <x:v>Copy cụ thể qua workflow phê duyệt</x:v>
      </x:c>
    </x:row>
    <x:row r="10" ht="78" customHeight="1">
      <x:c r="A10" s="60" t="str">
        <x:v>SCR-P05</x:v>
      </x:c>
      <x:c r="B10" s="20" t="str">
        <x:v>Public</x:v>
      </x:c>
      <x:c r="C10" s="20" t="str">
        <x:v>Khi nào cần đi khám
/gioi-thieu/khi-nao-can-di-kham</x:v>
      </x:c>
      <x:c r="D10" s="64" t="str">
        <x:v>LT-03</x:v>
      </x:c>
      <x:c r="E10" s="20" t="str">
        <x:v>Người dân; người chăm sóc; mọi nhóm công chúng</x:v>
      </x:c>
      <x:c r="F10" s="20" t="str">
        <x:v>Nhận biết mức khẩn cấp chung và bước tiếp theo an toàn</x:v>
      </x:c>
      <x:c r="G10" s="20" t="str">
        <x:v>Chọn tình huống chung và thực hiện bước phù hợp</x:v>
      </x:c>
      <x:c r="H10" s="20" t="str">
        <x:v>Giới hạn trang → tình huống/red flags đã duyệt → mức khẩn → hành động → khi ngoài phạm vi → nguồn</x:v>
      </x:c>
      <x:c r="I10" s="20" t="str">
        <x:v>Phải thiết lập giới hạn trước lựa chọn để tránh hiểu là công cụ chẩn đoán; hành động theo mức ưu tiên</x:v>
      </x:c>
      <x:c r="J10" s="20" t="str">
        <x:v>HĐKH duyệt; nguồn; ngày hiệu lực; đầu mối y tế; lịch rà soát</x:v>
      </x:c>
      <x:c r="K10" s="20" t="str">
        <x:v>Tối quan trọng</x:v>
      </x:c>
      <x:c r="L10" s="20" t="str">
        <x:v>Nội dung tĩnh đã duyệt; không thu triệu chứng định danh; không hỏi để chẩn đoán; không tự thay đổi thuốc</x:v>
      </x:c>
      <x:c r="M10" s="20" t="str">
        <x:v>Placeholder; theo nhóm; khẩn; ngoài phạm vi; chế độ in; nội dung hết hiệu lực</x:v>
      </x:c>
      <x:c r="N10" s="20" t="str">
        <x:v>Nội dung tuyến tính; safety cards 3 mức; nguồn và disclaimer cuối</x:v>
      </x:c>
      <x:c r="O10" s="20" t="str">
        <x:v>Một cột; mức khẩn không chỉ bằng màu; CTA 44×44+; số/kênh liên hệ dễ sao chép</x:v>
      </x:c>
      <x:c r="P10" s="20" t="str">
        <x:v>ACC-01…14; CLIN-01…05</x:v>
      </x:c>
      <x:c r="Q10" s="20" t="str">
        <x:v>safety_view; level_select; action_click; out_of_scope</x:v>
      </x:c>
      <x:c r="R10" s="20" t="str">
        <x:v>LEG-012; STR-005; PUB-002</x:v>
      </x:c>
      <x:c r="S10" s="20" t="str">
        <x:v>PUC-005</x:v>
      </x:c>
      <x:c r="T10" s="20" t="str">
        <x:v>FLOW-02</x:v>
      </x:c>
      <x:c r="U10" s="20" t="str">
        <x:v>TC-LEG-012; TC-STR-005; TC-PUB-002</x:v>
      </x:c>
      <x:c r="V10" s="20" t="str">
        <x:v>BLOCKER</x:v>
      </x:c>
      <x:c r="W10" s="20" t="str">
        <x:v>LAUNCH-NO-GO</x:v>
      </x:c>
      <x:c r="X10" s="20" t="str">
        <x:v>HĐKH + Legal</x:v>
      </x:c>
      <x:c r="Y10" s="20" t="str">
        <x:v>GAP-019 · red flags, self-harm copy, địa chỉ/kênh chuyển tiếp chưa duyệt</x:v>
      </x:c>
    </x:row>
    <x:row r="11" ht="78" customHeight="1">
      <x:c r="A11" s="60" t="str">
        <x:v>SCR-P06</x:v>
      </x:c>
      <x:c r="B11" s="20" t="str">
        <x:v>Public</x:v>
      </x:c>
      <x:c r="C11" s="20" t="str">
        <x:v>Danh sách chuyên gia
/chuyen-gia</x:v>
      </x:c>
      <x:c r="D11" s="64" t="str">
        <x:v>LT-02</x:v>
      </x:c>
      <x:c r="E11" s="20" t="str">
        <x:v>Người dân; báo chí; đối tác; cơ sở y tế</x:v>
      </x:c>
      <x:c r="F11" s="20" t="str">
        <x:v>Tìm chuyên gia đã xác minh theo đúng mục đích</x:v>
      </x:c>
      <x:c r="G11" s="20" t="str">
        <x:v>Lọc và mở hồ sơ; với báo chí chuyển sang yêu cầu phỏng vấn</x:v>
      </x:c>
      <x:c r="H11" s="20" t="str">
        <x:v>Giới hạn danh bạ → tìm/lọc → hồ sơ kết quả → trạng thái xác minh → CTA theo ngữ cảnh</x:v>
      </x:c>
      <x:c r="I11" s="20" t="str">
        <x:v>Giới hạn được nêu trước kết quả để danh bạ không bị hiểu là giới thiệu khám/chữa bệnh</x:v>
      </x:c>
      <x:c r="J11" s="20" t="str">
        <x:v>Dấu xác minh; ngày hết hạn; phạm vi chuyên môn; COI</x:v>
      </x:c>
      <x:c r="K11" s="20" t="str">
        <x:v>Trung bình</x:v>
      </x:c>
      <x:c r="L11" s="20" t="str">
        <x:v>Không xếp hạng chất lượng; không hiển thị hồ sơ hết hạn; CTA báo chí tách CTA y tế</x:v>
      </x:c>
      <x:c r="M11" s="20" t="str">
        <x:v>Mặc định; báo chí; không kết quả; hồ sơ hết hạn; đang xác minh</x:v>
      </x:c>
      <x:c r="N11" s="20" t="str">
        <x:v>Search controls + grid 3 cột</x:v>
      </x:c>
      <x:c r="O11" s="20" t="str">
        <x:v>1 cột; filter drawer; trạng thái xác minh bằng chữ + biểu tượng</x:v>
      </x:c>
      <x:c r="P11" s="20" t="str">
        <x:v>ACC-01…10; ACC-13</x:v>
      </x:c>
      <x:c r="Q11" s="20" t="str">
        <x:v>expert_search; filter_use; profile_open; press_intent</x:v>
      </x:c>
      <x:c r="R11" s="20" t="str">
        <x:v>IA-007; UX-009</x:v>
      </x:c>
      <x:c r="S11" s="20" t="str">
        <x:v>PUC-007; PUC-009</x:v>
      </x:c>
      <x:c r="T11" s="20" t="str">
        <x:v>FLOW-04 cho PUC-009</x:v>
      </x:c>
      <x:c r="U11" s="20" t="str">
        <x:v>TC-IA-007; TC-UX-009</x:v>
      </x:c>
      <x:c r="V11" s="20" t="str">
        <x:v>PLACEHOLDER</x:v>
      </x:c>
      <x:c r="W11" s="20" t="str">
        <x:v>WF-GO CÓ ĐIỀU KIỆN</x:v>
      </x:c>
      <x:c r="X11" s="20" t="str">
        <x:v>Expert Profile Admin</x:v>
      </x:c>
      <x:c r="Y11" s="20" t="str">
        <x:v>DEC-005; DEC-016 · tiêu chí và nguồn xác minh chưa chốt</x:v>
      </x:c>
    </x:row>
    <x:row r="12" ht="78" customHeight="1">
      <x:c r="A12" s="60" t="str">
        <x:v>SCR-P07</x:v>
      </x:c>
      <x:c r="B12" s="20" t="str">
        <x:v>Public</x:v>
      </x:c>
      <x:c r="C12" s="20" t="str">
        <x:v>Hồ sơ chuyên gia
/chuyen-gia/[slug]</x:v>
      </x:c>
      <x:c r="D12" s="64" t="str">
        <x:v>LT-03</x:v>
      </x:c>
      <x:c r="E12" s="20" t="str">
        <x:v>Người dân; báo chí; hội nghề nghiệp</x:v>
      </x:c>
      <x:c r="F12" s="20" t="str">
        <x:v>Hiểu chuyên môn, vai trò và mức xác minh của một chuyên gia</x:v>
      </x:c>
      <x:c r="G12" s="20" t="str">
        <x:v>Xem nội dung đã phản biện hoặc gửi yêu cầu báo chí</x:v>
      </x:c>
      <x:c r="H12" s="20" t="str">
        <x:v>Danh tính/phạm vi → xác minh → đóng góp → nội dung → COI → CTA theo mục đích</x:v>
      </x:c>
      <x:c r="I12" s="20" t="str">
        <x:v>Phạm vi và xác minh đứng trước CTA để hạn chế suy diễn năng lực hoặc quảng bá cá nhân</x:v>
      </x:c>
      <x:c r="J12" s="20" t="str">
        <x:v>Nguồn xác minh; hiệu lực; đơn vị; COI; lịch sử đóng góp</x:v>
      </x:c>
      <x:c r="K12" s="20" t="str">
        <x:v>Cao</x:v>
      </x:c>
      <x:c r="L12" s="20" t="str">
        <x:v>Không hiển thị liên hệ cá nhân mặc định; hồ sơ hết hạn phải ẩn/đánh dấu; không đặt lịch khám</x:v>
      </x:c>
      <x:c r="M12" s="20" t="str">
        <x:v>Đã xác minh; thiếu bằng chứng; hết hạn; bị ẩn; khiếu nại</x:v>
      </x:c>
      <x:c r="N12" s="20" t="str">
        <x:v>Profile hero + content + verification rail</x:v>
      </x:c>
      <x:c r="O12" s="20" t="str">
        <x:v>Một cột; verification box ngay sau tên; CTA báo chí sau phạm vi</x:v>
      </x:c>
      <x:c r="P12" s="20" t="str">
        <x:v>ACC-01…09; ACC-11; ACC-13</x:v>
      </x:c>
      <x:c r="Q12" s="20" t="str">
        <x:v>profile_view; verified_detail_open; contribution_open; press_request</x:v>
      </x:c>
      <x:c r="R12" s="20" t="str">
        <x:v>IA-015; UX-009; UX-010</x:v>
      </x:c>
      <x:c r="S12" s="20" t="str">
        <x:v>PUC-007; PUC-009; PUC-011</x:v>
      </x:c>
      <x:c r="T12" s="20" t="str">
        <x:v>FLOW-04 cho PUC-009/011</x:v>
      </x:c>
      <x:c r="U12" s="20" t="str">
        <x:v>TC-IA-015; TC-UX-009; TC-UX-010</x:v>
      </x:c>
      <x:c r="V12" s="20" t="str">
        <x:v>BLOCKER</x:v>
      </x:c>
      <x:c r="W12" s="20" t="str">
        <x:v>LAUNCH-NO-GO</x:v>
      </x:c>
      <x:c r="X12" s="20" t="str">
        <x:v>HĐKH + Expert Profile Admin</x:v>
      </x:c>
      <x:c r="Y12" s="20" t="str">
        <x:v>DEC-016; GAP-025 · bằng chứng, expiry, re-verification, appeal</x:v>
      </x:c>
    </x:row>
    <x:row r="13" ht="78" customHeight="1">
      <x:c r="A13" s="60" t="str">
        <x:v>SCR-P08</x:v>
      </x:c>
      <x:c r="B13" s="20" t="str">
        <x:v>Public</x:v>
      </x:c>
      <x:c r="C13" s="20" t="str">
        <x:v>Trung tâm báo chí
/bao-chi</x:v>
      </x:c>
      <x:c r="D13" s="64" t="str">
        <x:v>LT-01</x:v>
      </x:c>
      <x:c r="E13" s="20" t="str">
        <x:v>Phóng viên; biên tập viên; nền tảng truyền thông</x:v>
      </x:c>
      <x:c r="F13" s="20" t="str">
        <x:v>Tìm nguồn gốc, chuyên gia và kênh fact-check trong thời gian ngắn</x:v>
      </x:c>
      <x:c r="G13" s="20" t="str">
        <x:v>Tải media kit hoặc gửi yêu cầu báo chí</x:v>
      </x:c>
      <x:c r="H13" s="20" t="str">
        <x:v>Thông tin nhanh → tìm chuyên gia → thông cáo → media kit → fact-check → quy tắc trích dẫn</x:v>
      </x:c>
      <x:c r="I13" s="20" t="str">
        <x:v>Tác vụ thời gian gấp đứng đầu; quy tắc sử dụng gần tài sản tải về</x:v>
      </x:c>
      <x:c r="J13" s="20" t="str">
        <x:v>Ngày cập nhật; chủ sở hữu tài liệu; điều kiện sử dụng; đầu mối báo chí</x:v>
      </x:c>
      <x:c r="K13" s="20" t="str">
        <x:v>Thấp</x:v>
      </x:c>
      <x:c r="L13" s="20" t="str">
        <x:v>Không cung cấp phát ngôn chưa duyệt; yêu cầu báo chí không đi thẳng tới chuyên gia</x:v>
      </x:c>
      <x:c r="M13" s="20" t="str">
        <x:v>Media kit có/thiếu; tài liệu cũ; yêu cầu khẩn; không có chuyên gia</x:v>
      </x:c>
      <x:c r="N13" s="20" t="str">
        <x:v>Hub 2 cột + tài nguyên tải về</x:v>
      </x:c>
      <x:c r="O13" s="20" t="str">
        <x:v>Một cột; tài sản tải có kích thước/định dạng; CTA cố định theo ngữ cảnh</x:v>
      </x:c>
      <x:c r="P13" s="20" t="str">
        <x:v>ACC-01…10; ACC-13</x:v>
      </x:c>
      <x:c r="Q13" s="20" t="str">
        <x:v>media_download; press_request; expert_open; factcheck_submit</x:v>
      </x:c>
      <x:c r="R13" s="20" t="str">
        <x:v>UX-010; IA-011</x:v>
      </x:c>
      <x:c r="S13" s="20" t="str">
        <x:v>PUC-010; PUC-011</x:v>
      </x:c>
      <x:c r="T13" s="20" t="str">
        <x:v>FLOW-04 cho PUC-011</x:v>
      </x:c>
      <x:c r="U13" s="20" t="str">
        <x:v>TC-UX-010; TC-IA-011</x:v>
      </x:c>
      <x:c r="V13" s="20" t="str">
        <x:v>PLACEHOLDER</x:v>
      </x:c>
      <x:c r="W13" s="20" t="str">
        <x:v>WF-GO CÓ ĐIỀU KIỆN</x:v>
      </x:c>
      <x:c r="X13" s="20" t="str">
        <x:v>Press Contact</x:v>
      </x:c>
      <x:c r="Y13" s="20" t="str">
        <x:v>Media kit và người phát ngôn là placeholder</x:v>
      </x:c>
    </x:row>
    <x:row r="14" ht="78" customHeight="1">
      <x:c r="A14" s="60" t="str">
        <x:v>SCR-P09</x:v>
      </x:c>
      <x:c r="B14" s="20" t="str">
        <x:v>Public</x:v>
      </x:c>
      <x:c r="C14" s="20" t="str">
        <x:v>Liên hệ / bộ định tuyến
/lien-he</x:v>
      </x:c>
      <x:c r="D14" s="64" t="str">
        <x:v>LT-04</x:v>
      </x:c>
      <x:c r="E14" s="20" t="str">
        <x:v>7 nhóm gửi yêu cầu</x:v>
      </x:c>
      <x:c r="F14" s="20" t="str">
        <x:v>Chọn đúng loại nhu cầu và biết ai sẽ xử lý</x:v>
      </x:c>
      <x:c r="G14" s="20" t="str">
        <x:v>Chọn luồng; với đào tạo chọn “Kết nối chương trình của đối tác”</x:v>
      </x:c>
      <x:c r="H14" s="20" t="str">
        <x:v>Mục đích → lựa chọn luồng → dữ liệu sẽ thu → owner → thời gian phản hồi chỉ khi đã duyệt</x:v>
      </x:c>
      <x:c r="I14" s="20" t="str">
        <x:v>Nêu mục đích và dữ liệu trước form để tạo consent có hiểu biết; owner giúp tăng niềm tin</x:v>
      </x:c>
      <x:c r="J14" s="20" t="str">
        <x:v>Mục đích; owner; privacy notice; ranh giới dịch vụ; trạng thái</x:v>
      </x:c>
      <x:c r="K14" s="20" t="str">
        <x:v>Cao</x:v>
      </x:c>
      <x:c r="L14" s="20" t="str">
        <x:v>Không nhận tư vấn y tế cá nhân; không hiển thị SLA chưa duyệt; đào tạo chỉ là liên kết đối tác</x:v>
      </x:c>
      <x:c r="M14" s="20" t="str">
        <x:v>Owner có/không; luồng disabled; đào tạo liên kết; privacy notice version</x:v>
      </x:c>
      <x:c r="N14" s="20" t="str">
        <x:v>Router grid + panel giải thích</x:v>
      </x:c>
      <x:c r="O14" s="20" t="str">
        <x:v>Một cột; lựa chọn lớn; mô tả ngắn; không dùng dropdown dài cho 7 luồng</x:v>
      </x:c>
      <x:c r="P14" s="20" t="str">
        <x:v>ACC-01…10; ACC-12; ACC-13</x:v>
      </x:c>
      <x:c r="Q14" s="20" t="str">
        <x:v>flow_select; flow_abandon; notice_open; training_partner_click</x:v>
      </x:c>
      <x:c r="R14" s="20" t="str">
        <x:v>UX-011; IA-013; CMS-026</x:v>
      </x:c>
      <x:c r="S14" s="20" t="str">
        <x:v>PUC-006; PUC-008; PUC-011; PUC-013; PUC-014; PUC-015; PUC-017</x:v>
      </x:c>
      <x:c r="T14" s="20" t="str">
        <x:v>FLOW-03/04/05/06; entry FLOW-10</x:v>
      </x:c>
      <x:c r="U14" s="20" t="str">
        <x:v>TC-UX-011; TC-IA-013; TC-CMS-026</x:v>
      </x:c>
      <x:c r="V14" s="20" t="str">
        <x:v>BLOCKER</x:v>
      </x:c>
      <x:c r="W14" s="20" t="str">
        <x:v>BUILD-NO-GO</x:v>
      </x:c>
      <x:c r="X14" s="20" t="str">
        <x:v>Product Owner + Legal</x:v>
      </x:c>
      <x:c r="Y14" s="20" t="str">
        <x:v>DEC-010/011; cần thay copy “đào tạo” cũ bằng đào tạo liên kết</x:v>
      </x:c>
    </x:row>
    <x:row r="15" ht="78" customHeight="1">
      <x:c r="A15" s="60" t="str">
        <x:v>SCR-P10</x:v>
      </x:c>
      <x:c r="B15" s="20" t="str">
        <x:v>Public</x:v>
      </x:c>
      <x:c r="C15" s="20" t="str">
        <x:v>Biểu mẫu theo ngữ cảnh
/lien-he/[loai]</x:v>
      </x:c>
      <x:c r="D15" s="64" t="str">
        <x:v>LT-04</x:v>
      </x:c>
      <x:c r="E15" s="20" t="str">
        <x:v>Người gửi yêu cầu</x:v>
      </x:c>
      <x:c r="F15" s="20" t="str">
        <x:v>Gửi tối thiểu dữ liệu cần thiết và sửa lỗi dễ dàng</x:v>
      </x:c>
      <x:c r="G15" s="20" t="str">
        <x:v>Hoàn tất và gửi; hoặc đi ra website đối tác đào tạo</x:v>
      </x:c>
      <x:c r="H15" s="20" t="str">
        <x:v>Mục đích/owner → trường dữ liệu → privacy → upload nếu được phép → xác nhận → gửi</x:v>
      </x:c>
      <x:c r="I15" s="20" t="str">
        <x:v>Giải thích trước khi thu dữ liệu; lỗi đặt cạnh trường và có summary; không ép điền ngoài mục đích</x:v>
      </x:c>
      <x:c r="J15" s="20" t="str">
        <x:v>Notice version; owner; payload tối thiểu; biên nhận; audit</x:v>
      </x:c>
      <x:c r="K15" s="20" t="str">
        <x:v>Cao</x:v>
      </x:c>
      <x:c r="L15" s="20" t="str">
        <x:v>Không thu triệu chứng cá nhân; upload default-off; đào tạo không thu học phí/tiến độ/chứng chỉ</x:v>
      </x:c>
      <x:c r="M15" s="20" t="str">
        <x:v>Editing; validation; upload blocked; anti-spam; duplicate; offline; partner redirect</x:v>
      </x:c>
      <x:c r="N15" s="20" t="str">
        <x:v>Form + rail mục đích/privacy</x:v>
      </x:c>
      <x:c r="O15" s="20" t="str">
        <x:v>Một cột; keyboard type phù hợp; lỗi không làm mất dữ liệu; nút chính 44×44+</x:v>
      </x:c>
      <x:c r="P15" s="20" t="str">
        <x:v>ACC-01…10; ACC-13; FORM-01…05</x:v>
      </x:c>
      <x:c r="Q15" s="20" t="str">
        <x:v>start; field_error; submit_success; submit_fail; partner_outbound</x:v>
      </x:c>
      <x:c r="R15" s="20" t="str">
        <x:v>UX-011; CMS-026; LEG-001; LEG-002</x:v>
      </x:c>
      <x:c r="S15" s="20" t="str">
        <x:v>Theo loại form</x:v>
      </x:c>
      <x:c r="T15" s="20" t="str">
        <x:v>FLOW-03/04/05/06/10</x:v>
      </x:c>
      <x:c r="U15" s="20" t="str">
        <x:v>TC-UX-011; TC-CMS-026; TC-LEG-001/002</x:v>
      </x:c>
      <x:c r="V15" s="20" t="str">
        <x:v>BLOCKER</x:v>
      </x:c>
      <x:c r="W15" s="20" t="str">
        <x:v>BUILD-NO-GO</x:v>
      </x:c>
      <x:c r="X15" s="20" t="str">
        <x:v>Legal + Privacy + Form Owner</x:v>
      </x:c>
      <x:c r="Y15" s="20" t="str">
        <x:v>DEC-010/011; GAP-011/012/013; scope đào tạo phải cập nhật</x:v>
      </x:c>
    </x:row>
    <x:row r="16" ht="78" customHeight="1">
      <x:c r="A16" s="60" t="str">
        <x:v>SCR-P11</x:v>
      </x:c>
      <x:c r="B16" s="20" t="str">
        <x:v>Public</x:v>
      </x:c>
      <x:c r="C16" s="20" t="str">
        <x:v>Trạng thái gửi
/lien-he/[loai]/trang-thai</x:v>
      </x:c>
      <x:c r="D16" s="64" t="str">
        <x:v>LT-04</x:v>
      </x:c>
      <x:c r="E16" s="20" t="str">
        <x:v>Người đã gửi form</x:v>
      </x:c>
      <x:c r="F16" s="20" t="str">
        <x:v>Biết yêu cầu đã được nhận hay cần làm gì tiếp theo</x:v>
      </x:c>
      <x:c r="G16" s="20" t="str">
        <x:v>Lưu mã tham chiếu; thử lại; quay về</x:v>
      </x:c>
      <x:c r="H16" s="20" t="str">
        <x:v>Kết quả → mã → owner → bước tiếp theo → dữ liệu đã giữ/đã xóa</x:v>
      </x:c>
      <x:c r="I16" s="20" t="str">
        <x:v>Kết quả và hành động phục hồi đứng trước nội dung bổ sung; tránh hứa hẹn không có căn cứ</x:v>
      </x:c>
      <x:c r="J16" s="20" t="str">
        <x:v>Mã tham chiếu; owner; timestamp; chính sách lưu dữ liệu</x:v>
      </x:c>
      <x:c r="K16" s="20" t="str">
        <x:v>Thấp</x:v>
      </x:c>
      <x:c r="L16" s="20" t="str">
        <x:v>Không hứa SLA; không lộ dữ liệu nhạy cảm trong URL; duplicate không tạo nhiều ticket</x:v>
      </x:c>
      <x:c r="M16" s="20" t="str">
        <x:v>Success; duplicate; error; retry; expired reference</x:v>
      </x:c>
      <x:c r="N16" s="20" t="str">
        <x:v>Centered result panel + actions</x:v>
      </x:c>
      <x:c r="O16" s="20" t="str">
        <x:v>Một cột; mã dễ sao chép; retry không mất dữ liệu; live region</x:v>
      </x:c>
      <x:c r="P16" s="20" t="str">
        <x:v>ACC-01…10; ACC-13</x:v>
      </x:c>
      <x:c r="Q16" s="20" t="str">
        <x:v>success; duplicate; retry; reference_copy</x:v>
      </x:c>
      <x:c r="R16" s="20" t="str">
        <x:v>CMS-026; LEG-011</x:v>
      </x:c>
      <x:c r="S16" s="20" t="str">
        <x:v>Theo loại form</x:v>
      </x:c>
      <x:c r="T16" s="20" t="str">
        <x:v>FLOW-10</x:v>
      </x:c>
      <x:c r="U16" s="20" t="str">
        <x:v>TC-CMS-026; TC-LEG-011</x:v>
      </x:c>
      <x:c r="V16" s="20" t="str">
        <x:v>PLACEHOLDER</x:v>
      </x:c>
      <x:c r="W16" s="20" t="str">
        <x:v>WF-GO CÓ ĐIỀU KIỆN</x:v>
      </x:c>
      <x:c r="X16" s="20" t="str">
        <x:v>Product Owner + Form Owner</x:v>
      </x:c>
      <x:c r="Y16" s="20" t="str">
        <x:v>SLA/notification chưa duyệt</x:v>
      </x:c>
    </x:row>
    <x:row r="17" ht="78" customHeight="1">
      <x:c r="A17" s="60" t="str">
        <x:v>SCR-P12</x:v>
      </x:c>
      <x:c r="B17" s="20" t="str">
        <x:v>Public</x:v>
      </x:c>
      <x:c r="C17" s="20" t="str">
        <x:v>Tin tức, sự kiện &amp; đào tạo liên kết
/tin-tuc-su-kien</x:v>
      </x:c>
      <x:c r="D17" s="64" t="str">
        <x:v>LT-02</x:v>
      </x:c>
      <x:c r="E17" s="20" t="str">
        <x:v>Công chúng; báo chí; chuyên gia; cơ sở y tế</x:v>
      </x:c>
      <x:c r="F17" s="20" t="str">
        <x:v>Khám phá hoạt động, sự kiện và chương trình đối tác</x:v>
      </x:c>
      <x:c r="G17" s="20" t="str">
        <x:v>Mở chi tiết; đăng ký sự kiện; đi tới trang đối tác đào tạo</x:v>
      </x:c>
      <x:c r="H17" s="20" t="str">
        <x:v>Tabs rõ loại nội dung → danh sách → vai trò đơn vị → tài trợ → CTA → tài liệu sau sự kiện</x:v>
      </x:c>
      <x:c r="I17" s="20" t="str">
        <x:v>Phân loại trước danh sách; vai trò/tài trợ đặt gần CTA để tránh hiểu CCHC là đơn vị đào tạo/cấp chứng nhận</x:v>
      </x:c>
      <x:c r="J17" s="20" t="str">
        <x:v>Đơn vị tổ chức; đối tác; tài trợ; ngày cập nhật; trách nhiệm chứng nhận</x:v>
      </x:c>
      <x:c r="K17" s="20" t="str">
        <x:v>Trung bình</x:v>
      </x:c>
      <x:c r="L17" s="20" t="str">
        <x:v>Đào tạo liên kết: CCHC không dạy, thu phí, thanh toán hay cấp chứng nhận; chỉ dùng nhãn CME khi có căn cứ</x:v>
      </x:c>
      <x:c r="M17" s="20" t="str">
        <x:v>Tin; sự kiện; đào tạo liên kết; hủy; hết hạn; tài liệu chưa có</x:v>
      </x:c>
      <x:c r="N17" s="20" t="str">
        <x:v>List/timeline + bộ lọc/tabs</x:v>
      </x:c>
      <x:c r="O17" s="20" t="str">
        <x:v>Một cột; ngày/thời gian rõ; CTA outbound báo trước; trạng thái hết hạn</x:v>
      </x:c>
      <x:c r="P17" s="20" t="str">
        <x:v>ACC-01…10; ACC-13</x:v>
      </x:c>
      <x:c r="Q17" s="20" t="str">
        <x:v>detail_open; event_register; partner_outbound; material_download</x:v>
      </x:c>
      <x:c r="R17" s="20" t="str">
        <x:v>IA-010; UX-007; CMS-028; IA-006; IA-019</x:v>
      </x:c>
      <x:c r="S17" s="20" t="str">
        <x:v>PUC-012; PUC-013; PUC-015; PUC-022</x:v>
      </x:c>
      <x:c r="T17" s="20" t="str">
        <x:v>Đăng ký entry FLOW-10; đào tạo outbound</x:v>
      </x:c>
      <x:c r="U17" s="20" t="str">
        <x:v>TC-IA-010; TC-UX-007; TC-CMS-028; TC-IA-006/019</x:v>
      </x:c>
      <x:c r="V17" s="20" t="str">
        <x:v>PLACEHOLDER</x:v>
      </x:c>
      <x:c r="W17" s="20" t="str">
        <x:v>WF-GO CÓ ĐIỀU KIỆN</x:v>
      </x:c>
      <x:c r="X17" s="20" t="str">
        <x:v>Event/Form Owner + Partnership</x:v>
      </x:c>
      <x:c r="Y17" s="20" t="str">
        <x:v>Cần cập nhật IA/route cho danh mục đào tạo liên kết; PUC-022 placeholder</x:v>
      </x:c>
    </x:row>
    <x:row r="18" ht="78" customHeight="1">
      <x:c r="A18" s="60" t="str">
        <x:v>SCR-P13</x:v>
      </x:c>
      <x:c r="B18" s="20" t="str">
        <x:v>Public</x:v>
      </x:c>
      <x:c r="C18" s="20" t="str">
        <x:v>Chính sách &amp; minh bạch
/gioi-thieu/chinh-sach-ai</x:v>
      </x:c>
      <x:c r="D18" s="64" t="str">
        <x:v>LT-03</x:v>
      </x:c>
      <x:c r="E18" s="20" t="str">
        <x:v>Mọi nhóm công chúng</x:v>
      </x:c>
      <x:c r="F18" s="20" t="str">
        <x:v>Hiểu CCHC là ai, chịu trách nhiệm thế nào và cách sửa sai</x:v>
      </x:c>
      <x:c r="G18" s="20" t="str">
        <x:v>Mở chính sách; xem công khai tài trợ/COI; báo sai sót</x:v>
      </x:c>
      <x:c r="H18" s="20" t="str">
        <x:v>Tư cách → phạm vi/không làm → biên tập/AI → tài trợ/COI → đính chính → khiếu nại</x:v>
      </x:c>
      <x:c r="I18" s="20" t="str">
        <x:v>Danh tính và ranh giới phải xuất hiện trước chính sách chi tiết; giúp người dùng diễn giải đúng mọi nội dung khác</x:v>
      </x:c>
      <x:c r="J18" s="20" t="str">
        <x:v>Master legal identity; văn bản; owner; version; hiệu lực; lịch sử sửa</x:v>
      </x:c>
      <x:c r="K18" s="20" t="str">
        <x:v>Cao</x:v>
      </x:c>
      <x:c r="L18" s="20" t="str">
        <x:v>Không hard-code pháp nhân, quan hệ Tổng hội, vendor AI, retention khi chưa duyệt</x:v>
      </x:c>
      <x:c r="M18" s="20" t="str">
        <x:v>Policy active/draft/expired; legal placeholder; link văn bản lỗi</x:v>
      </x:c>
      <x:c r="N18" s="20" t="str">
        <x:v>TOC + nội dung theo policy; callout legal</x:v>
      </x:c>
      <x:c r="O18" s="20" t="str">
        <x:v>Một cột; accordion không làm mất deep link; phiên bản/hiệu lực gần tiêu đề</x:v>
      </x:c>
      <x:c r="P18" s="20" t="str">
        <x:v>ACC-01…10; ACC-13</x:v>
      </x:c>
      <x:c r="Q18" s="20" t="str">
        <x:v>policy_open; coi_open; correction_policy_open; complaint_start</x:v>
      </x:c>
      <x:c r="R18" s="20" t="str">
        <x:v>IA-003; IA-012; IA-014; IA-018; LEG-009; LEG-010</x:v>
      </x:c>
      <x:c r="S18" s="20" t="str">
        <x:v>PUC-018…021; PUC-025</x:v>
      </x:c>
      <x:c r="T18" s="20" t="str">
        <x:v>AI entry-only tới FLOW-12 CMS</x:v>
      </x:c>
      <x:c r="U18" s="20" t="str">
        <x:v>TC-IA-003/012/014/018; TC-LEG-009/010</x:v>
      </x:c>
      <x:c r="V18" s="20" t="str">
        <x:v>BLOCKER</x:v>
      </x:c>
      <x:c r="W18" s="20" t="str">
        <x:v>LAUNCH-NO-GO</x:v>
      </x:c>
      <x:c r="X18" s="20" t="str">
        <x:v>BGĐ + Legal</x:v>
      </x:c>
      <x:c r="Y18" s="20" t="str">
        <x:v>DEC-002/003/009/015/018; GAP-020/021</x:v>
      </x:c>
    </x:row>
    <x:row r="19" ht="78" customHeight="1">
      <x:c r="A19" s="60" t="str">
        <x:v>SCR-C01</x:v>
      </x:c>
      <x:c r="B19" s="20" t="str">
        <x:v>CMS</x:v>
      </x:c>
      <x:c r="C19" s="20" t="str">
        <x:v>Tổng quan CMS
/cms</x:v>
      </x:c>
      <x:c r="D19" s="64" t="str">
        <x:v>LT-05</x:v>
      </x:c>
      <x:c r="E19" s="20" t="str">
        <x:v>Vai trò nội bộ</x:v>
      </x:c>
      <x:c r="F19" s="20" t="str">
        <x:v>Biết việc cần làm, rủi ro và nội dung sắp đến hạn</x:v>
      </x:c>
      <x:c r="G19" s="20" t="str">
        <x:v>Mở queue ưu tiên theo vai trò</x:v>
      </x:c>
      <x:c r="H19" s="20" t="str">
        <x:v>Việc cần xử lý → cảnh báo rủi ro → lịch rà soát → metric minh họa → activity</x:v>
      </x:c>
      <x:c r="I19" s="20" t="str">
        <x:v>Tasks đứng trước KPI vì CMS phục vụ quyết định vận hành; số liệu chưa chuẩn chỉ là phụ</x:v>
      </x:c>
      <x:c r="J19" s="20" t="str">
        <x:v>Nguồn metric; owner; thời điểm cập nhật; định nghĩa</x:v>
      </x:c>
      <x:c r="K19" s="20" t="str">
        <x:v>Trung bình</x:v>
      </x:c>
      <x:c r="L19" s="20" t="str">
        <x:v>Không coi dashboard là nguồn sự thật khi metric catalog chưa duyệt</x:v>
      </x:c>
      <x:c r="M19" s="20" t="str">
        <x:v>Theo vai trò; empty; denied; stale data; loading</x:v>
      </x:c>
      <x:c r="N19" s="20" t="str">
        <x:v>KPI cards + priority queue + activity</x:v>
      </x:c>
      <x:c r="O19" s="20" t="str">
        <x:v>Cards xếp dọc; queue ưu tiên; bảng thành danh sách; không phụ thuộc hover</x:v>
      </x:c>
      <x:c r="P19" s="20" t="str">
        <x:v>ACC-01…10; ACC-13</x:v>
      </x:c>
      <x:c r="Q19" s="20" t="str">
        <x:v>queue_open; overdue_open; task_complete</x:v>
      </x:c>
      <x:c r="R19" s="20" t="str">
        <x:v>CMS-025</x:v>
      </x:c>
      <x:c r="S19" s="20" t="str">
        <x:v>CUC-029</x:v>
      </x:c>
      <x:c r="T19" s="20" t="str">
        <x:v>Không có canonical flow</x:v>
      </x:c>
      <x:c r="U19" s="20" t="str">
        <x:v>TC-CMS-025</x:v>
      </x:c>
      <x:c r="V19" s="20" t="str">
        <x:v>PLACEHOLDER</x:v>
      </x:c>
      <x:c r="W19" s="20" t="str">
        <x:v>BUILD-NO-GO</x:v>
      </x:c>
      <x:c r="X19" s="20" t="str">
        <x:v>Analytics/Risk Lead</x:v>
      </x:c>
      <x:c r="Y19" s="20" t="str">
        <x:v>DEC-017; GAP-010/026 · metric catalog chưa chốt</x:v>
      </x:c>
    </x:row>
    <x:row r="20" ht="78" customHeight="1">
      <x:c r="A20" s="60" t="str">
        <x:v>SCR-C02</x:v>
      </x:c>
      <x:c r="B20" s="20" t="str">
        <x:v>CMS</x:v>
      </x:c>
      <x:c r="C20" s="20" t="str">
        <x:v>IAM, vai trò &amp; audit
/cms/access-audit</x:v>
      </x:c>
      <x:c r="D20" s="64" t="str">
        <x:v>LT-05</x:v>
      </x:c>
      <x:c r="E20" s="20" t="str">
        <x:v>CMS Admin; Security; approver</x:v>
      </x:c>
      <x:c r="F20" s="20" t="str">
        <x:v>Quản lý truy cập theo least privilege và kiểm tra lịch sử</x:v>
      </x:c>
      <x:c r="G20" s="20" t="str">
        <x:v>Xem/chặn phiên; offboard; xuất audit khi có quyền</x:v>
      </x:c>
      <x:c r="H20" s="20" t="str">
        <x:v>Cảnh báo gate → tài khoản/role → MFA/session → offboard → audit → export</x:v>
      </x:c>
      <x:c r="I20" s="20" t="str">
        <x:v>Gate đứng đầu vì chức năng không được dùng như cấu hình thật; audit theo sau thao tác có rủi ro</x:v>
      </x:c>
      <x:c r="J20" s="20" t="str">
        <x:v>Actor; thời gian; lý do; trước/sau; phạm vi export</x:v>
      </x:c>
      <x:c r="K20" s="20" t="str">
        <x:v>Cao</x:v>
      </x:c>
      <x:c r="L20" s="20" t="str">
        <x:v>Default-deny; SoD; admin không tự duyệt nội dung; redaction export</x:v>
      </x:c>
      <x:c r="M20" s="20" t="str">
        <x:v>MFA; denied; locked; offboard; expired; export denied</x:v>
      </x:c>
      <x:c r="N20" s="20" t="str">
        <x:v>Queue + matrix + audit table</x:v>
      </x:c>
      <x:c r="O20" s="20" t="str">
        <x:v>Bảng cuộn có nhãn; thao tác nguy hiểm tách riêng; confirm rõ hậu quả</x:v>
      </x:c>
      <x:c r="P20" s="20" t="str">
        <x:v>ACC-01…10; SEC-01…05</x:v>
      </x:c>
      <x:c r="Q20" s="20" t="str">
        <x:v>mfa_fail; denied; offboard_complete; audit_export</x:v>
      </x:c>
      <x:c r="R20" s="20" t="str">
        <x:v>CMS-011; GAP-002; GAP-003</x:v>
      </x:c>
      <x:c r="S20" s="20" t="str">
        <x:v>CUC-001; CUC-002; CUC-030</x:v>
      </x:c>
      <x:c r="T20" s="20" t="str">
        <x:v>Không có canonical flow</x:v>
      </x:c>
      <x:c r="U20" s="20" t="str">
        <x:v>TC-CMS-011</x:v>
      </x:c>
      <x:c r="V20" s="20" t="str">
        <x:v>BLOCKER</x:v>
      </x:c>
      <x:c r="W20" s="20" t="str">
        <x:v>BUILD-NO-GO</x:v>
      </x:c>
      <x:c r="X20" s="20" t="str">
        <x:v>Tech/Security + BGĐ</x:v>
      </x:c>
      <x:c r="Y20" s="20" t="str">
        <x:v>GAP-002/003 · IdP/SSO, MFA, role catalogue, retention/export</x:v>
      </x:c>
    </x:row>
    <x:row r="21" ht="78" customHeight="1">
      <x:c r="A21" s="60" t="str">
        <x:v>SCR-C03</x:v>
      </x:c>
      <x:c r="B21" s="20" t="str">
        <x:v>CMS</x:v>
      </x:c>
      <x:c r="C21" s="20" t="str">
        <x:v>Soạn &amp; kiểm nguồn
/cms/noi-dung/[id]</x:v>
      </x:c>
      <x:c r="D21" s="64" t="str">
        <x:v>LT-06</x:v>
      </x:c>
      <x:c r="E21" s="20" t="str">
        <x:v>Tác giả; biên tập; Medical Editor</x:v>
      </x:c>
      <x:c r="F21" s="20" t="str">
        <x:v>Tạo bản nháp đủ metadata, nguồn, evidence, AI và COI</x:v>
      </x:c>
      <x:c r="G21" s="20" t="str">
        <x:v>Gửi duyệt khi vượt mọi gate</x:v>
      </x:c>
      <x:c r="H21" s="20" t="str">
        <x:v>Metadata/risk → nội dung → nguồn/evidence → disclosure → validation → gửi duyệt</x:v>
      </x:c>
      <x:c r="I21" s="20" t="str">
        <x:v>Gate và risk luôn nhìn thấy; nguồn đặt song song với claim để giảm lỗi truy xuất</x:v>
      </x:c>
      <x:c r="J21" s="20" t="str">
        <x:v>Content ID; source link; evidence tier; AI log; COI; version</x:v>
      </x:c>
      <x:c r="K21" s="20" t="str">
        <x:v>Cao</x:v>
      </x:c>
      <x:c r="L21" s="20" t="str">
        <x:v>Thiếu trường bắt buộc hard-lock; AI không tự publish; M4 không tự hạ tier</x:v>
      </x:c>
      <x:c r="M21" s="20" t="str">
        <x:v>Draft; autosave; source missing; AI blocked; hard-lock; conflict; offline</x:v>
      </x:c>
      <x:c r="N21" s="20" t="str">
        <x:v>Editor + right rail kiểm soát</x:v>
      </x:c>
      <x:c r="O21" s="20" t="str">
        <x:v>Editor 1 cột; rail thành tabs/sections; save state luôn hiển thị</x:v>
      </x:c>
      <x:c r="P21" s="20" t="str">
        <x:v>ACC-01…10; CMS-01…06</x:v>
      </x:c>
      <x:c r="Q21" s="20" t="str">
        <x:v>draft_save; validation_fail; source_link; submit_review</x:v>
      </x:c>
      <x:c r="R21" s="20" t="str">
        <x:v>CMS-001; CMS-002; CMS-003; CMS-017…019</x:v>
      </x:c>
      <x:c r="S21" s="20" t="str">
        <x:v>CUC-003…009</x:v>
      </x:c>
      <x:c r="T21" s="20" t="str">
        <x:v>FLOW-07</x:v>
      </x:c>
      <x:c r="U21" s="20" t="str">
        <x:v>TC-CMS-001…003; TC-CMS-017…019</x:v>
      </x:c>
      <x:c r="V21" s="20" t="str">
        <x:v>PLACEHOLDER</x:v>
      </x:c>
      <x:c r="W21" s="20" t="str">
        <x:v>WF-GO CÓ ĐIỀU KIỆN</x:v>
      </x:c>
      <x:c r="X21" s="20" t="str">
        <x:v>Editorial Lead + Medical Editor</x:v>
      </x:c>
      <x:c r="Y21" s="20" t="str">
        <x:v>DEC-006/007/018; role/gate chưa cấu hình thật</x:v>
      </x:c>
    </x:row>
    <x:row r="22" ht="78" customHeight="1">
      <x:c r="A22" s="60" t="str">
        <x:v>SCR-C04</x:v>
      </x:c>
      <x:c r="B22" s="20" t="str">
        <x:v>CMS</x:v>
      </x:c>
      <x:c r="C22" s="20" t="str">
        <x:v>Phản biện &amp; phê duyệt
/cms/phe-duyet</x:v>
      </x:c>
      <x:c r="D22" s="64" t="str">
        <x:v>LT-06</x:v>
      </x:c>
      <x:c r="E22" s="20" t="str">
        <x:v>Reviewer; Legal; approver; HĐKH</x:v>
      </x:c>
      <x:c r="F22" s="20" t="str">
        <x:v>Ra quyết định có căn cứ, không tự duyệt và giữ audit</x:v>
      </x:c>
      <x:c r="G22" s="20" t="str">
        <x:v>Duyệt; yêu cầu sửa; từ chối với lý do</x:v>
      </x:c>
      <x:c r="H22" s="20" t="str">
        <x:v>Tóm tắt risk → bản thay đổi → nguồn/review → COI/recusal → quyết định → audit</x:v>
      </x:c>
      <x:c r="I22" s="20" t="str">
        <x:v>Risk và xung đột lợi ích phải được thấy trước nút quyết định; lý do là dữ liệu bắt buộc</x:v>
      </x:c>
      <x:c r="J22" s="20" t="str">
        <x:v>Reviewer; authority; COI; source; diff; timestamp; reason</x:v>
      </x:c>
      <x:c r="K22" s="20" t="str">
        <x:v>Tối quan trọng</x:v>
      </x:c>
      <x:c r="L22" s="20" t="str">
        <x:v>Không tự duyệt; recusal; delegation có thời hạn; M4 hard-lock HĐKH; sửa sau duyệt làm mất approval</x:v>
      </x:c>
      <x:c r="M22" s="20" t="str">
        <x:v>Assigned; recused; delegated; changes requested; rejected; approved; stale approval</x:v>
      </x:c>
      <x:c r="N22" s="20" t="str">
        <x:v>Diff + review rail + sticky decision bar</x:v>
      </x:c>
      <x:c r="O22" s="20" t="str">
        <x:v>Decision controls cuối nội dung; diff dễ đọc; không dùng swipe; confirm rõ</x:v>
      </x:c>
      <x:c r="P22" s="20" t="str">
        <x:v>ACC-01…10; CMS-APP-01…06</x:v>
      </x:c>
      <x:c r="Q22" s="20" t="str">
        <x:v>review_time; request_change; recusal; approval_block</x:v>
      </x:c>
      <x:c r="R22" s="20" t="str">
        <x:v>CMS-004…007; CMS-013; CMS-014</x:v>
      </x:c>
      <x:c r="S22" s="20" t="str">
        <x:v>CUC-010…016</x:v>
      </x:c>
      <x:c r="T22" s="20" t="str">
        <x:v>FLOW-07</x:v>
      </x:c>
      <x:c r="U22" s="20" t="str">
        <x:v>TC-CMS-004…007; TC-CMS-013/014</x:v>
      </x:c>
      <x:c r="V22" s="20" t="str">
        <x:v>BLOCKER</x:v>
      </x:c>
      <x:c r="W22" s="20" t="str">
        <x:v>BUILD-NO-GO</x:v>
      </x:c>
      <x:c r="X22" s="20" t="str">
        <x:v>BGĐ + HĐKH + Legal</x:v>
      </x:c>
      <x:c r="Y22" s="20" t="str">
        <x:v>DEC-007; NEW-UC-03/04 · authority, override, delegation</x:v>
      </x:c>
    </x:row>
    <x:row r="23" ht="78" customHeight="1">
      <x:c r="A23" s="60" t="str">
        <x:v>SCR-C05</x:v>
      </x:c>
      <x:c r="B23" s="20" t="str">
        <x:v>CMS</x:v>
      </x:c>
      <x:c r="C23" s="20" t="str">
        <x:v>Đính chính
/cms/dinh-chinh</x:v>
      </x:c>
      <x:c r="D23" s="64" t="str">
        <x:v>LT-05</x:v>
      </x:c>
      <x:c r="E23" s="20" t="str">
        <x:v>Correction Manager; Medical; Legal; approver</x:v>
      </x:c>
      <x:c r="F23" s="20" t="str">
        <x:v>Triage sai sót và công bố sửa đổi minh bạch</x:v>
      </x:c>
      <x:c r="G23" s="20" t="str">
        <x:v>Tạo phiên bản mới; công bố banner/lý do</x:v>
      </x:c>
      <x:c r="H23" s="20" t="str">
        <x:v>Ticket → severity → impact → bản sửa/diff → review → public notice → close</x:v>
      </x:c>
      <x:c r="I23" s="20" t="str">
        <x:v>Severity đứng đầu để quyết định đường duyệt; notice công khai là một phần kết quả, không phải việc phụ</x:v>
      </x:c>
      <x:c r="J23" s="20" t="str">
        <x:v>Ticket ID; Content ID; severity; reviewer; versions; public notice</x:v>
      </x:c>
      <x:c r="K23" s="20" t="str">
        <x:v>Tối quan trọng</x:v>
      </x:c>
      <x:c r="L23" s="20" t="str">
        <x:v>Không sửa âm thầm; URL gốc giữ nếu an toàn; escalation y khoa; rollback có audit</x:v>
      </x:c>
      <x:c r="M23" s="20" t="str">
        <x:v>Minor; significant; medical serious; crisis; pending review; published</x:v>
      </x:c>
      <x:c r="N23" s="20" t="str">
        <x:v>Queue + detail/diff + timeline</x:v>
      </x:c>
      <x:c r="O23" s="20" t="str">
        <x:v>Queue thành cards; severity bằng chữ; hành động nguy hiểm cần confirm</x:v>
      </x:c>
      <x:c r="P23" s="20" t="str">
        <x:v>ACC-01…10; CORR-01…06</x:v>
      </x:c>
      <x:c r="Q23" s="20" t="str">
        <x:v>triage_time; correction_publish; reopen; escalation</x:v>
      </x:c>
      <x:c r="R23" s="20" t="str">
        <x:v>CMS-008; CMS-010; CMS-015; PUB-012</x:v>
      </x:c>
      <x:c r="S23" s="20" t="str">
        <x:v>CUC-018; CUC-019; CUC-020</x:v>
      </x:c>
      <x:c r="T23" s="20" t="str">
        <x:v>FLOW-08</x:v>
      </x:c>
      <x:c r="U23" s="20" t="str">
        <x:v>TC-CMS-008/010/015; TC-PUB-012</x:v>
      </x:c>
      <x:c r="V23" s="20" t="str">
        <x:v>BLOCKER</x:v>
      </x:c>
      <x:c r="W23" s="20" t="str">
        <x:v>BUILD-NO-GO</x:v>
      </x:c>
      <x:c r="X23" s="20" t="str">
        <x:v>Editorial Lead + HĐKH</x:v>
      </x:c>
      <x:c r="Y23" s="20" t="str">
        <x:v>GAP-019/020; DEC-007/011 · severity/SLA/authority</x:v>
      </x:c>
    </x:row>
    <x:row r="24" ht="78" customHeight="1">
      <x:c r="A24" s="60" t="str">
        <x:v>SCR-C06</x:v>
      </x:c>
      <x:c r="B24" s="20" t="str">
        <x:v>CMS</x:v>
      </x:c>
      <x:c r="C24" s="20" t="str">
        <x:v>Quản trị form
/cms/bieu-mau</x:v>
      </x:c>
      <x:c r="D24" s="64" t="str">
        <x:v>LT-05</x:v>
      </x:c>
      <x:c r="E24" s="20" t="str">
        <x:v>Form Owner; Privacy; CMS Admin</x:v>
      </x:c>
      <x:c r="F24" s="20" t="str">
        <x:v>Cấu hình schema, owner, routing, notice và xử lý submission</x:v>
      </x:c>
      <x:c r="G24" s="20" t="str">
        <x:v>Kích hoạt luồng chỉ khi đủ owner/privacy/routing</x:v>
      </x:c>
      <x:c r="H24" s="20" t="str">
        <x:v>Inventory → schema → data purpose → owner/backup → routing → notification → queue → audit</x:v>
      </x:c>
      <x:c r="I24" s="20" t="str">
        <x:v>Luồng bị khóa trước khi triển khai nếu thiếu owner hoặc privacy; dữ liệu tách theo mục đích</x:v>
      </x:c>
      <x:c r="J24" s="20" t="str">
        <x:v>Purpose; lawful basis; notice version; owner; retention; access log</x:v>
      </x:c>
      <x:c r="K24" s="20" t="str">
        <x:v>Cao</x:v>
      </x:c>
      <x:c r="L24" s="20" t="str">
        <x:v>Least privilege; no-owner = no deploy; training = metadata/outbound referral, không LMS/payment/certification</x:v>
      </x:c>
      <x:c r="M24" s="20" t="str">
        <x:v>Draft; no-owner; notice missing; rate limited; duplicate; failed notification</x:v>
      </x:c>
      <x:c r="N24" s="20" t="str">
        <x:v>Config list + queue + detail rail</x:v>
      </x:c>
      <x:c r="O24" s="20" t="str">
        <x:v>Cards theo loại form; payload có redaction; thao tác config không lẫn xử lý submission</x:v>
      </x:c>
      <x:c r="P24" s="20" t="str">
        <x:v>ACC-01…10; FORM-01…06</x:v>
      </x:c>
      <x:c r="Q24" s="20" t="str">
        <x:v>submit_route; no_owner_block; notification_fail; queue_age</x:v>
      </x:c>
      <x:c r="R24" s="20" t="str">
        <x:v>CMS-026; LEG-001; LEG-002</x:v>
      </x:c>
      <x:c r="S24" s="20" t="str">
        <x:v>CUC-026; CUC-027</x:v>
      </x:c>
      <x:c r="T24" s="20" t="str">
        <x:v>FLOW-10</x:v>
      </x:c>
      <x:c r="U24" s="20" t="str">
        <x:v>TC-CMS-026; TC-LEG-001/002</x:v>
      </x:c>
      <x:c r="V24" s="20" t="str">
        <x:v>BLOCKER</x:v>
      </x:c>
      <x:c r="W24" s="20" t="str">
        <x:v>BUILD-NO-GO</x:v>
      </x:c>
      <x:c r="X24" s="20" t="str">
        <x:v>Product Owner + Legal + Privacy</x:v>
      </x:c>
      <x:c r="Y24" s="20" t="str">
        <x:v>DEC-010/011; GAP-011/012/013; cập nhật đào tạo liên kết</x:v>
      </x:c>
    </x:row>
    <x:row r="25" ht="78" customHeight="1">
      <x:c r="A25" s="60" t="str">
        <x:v>SCR-C07</x:v>
      </x:c>
      <x:c r="B25" s="20" t="str">
        <x:v>CMS</x:v>
      </x:c>
      <x:c r="C25" s="20" t="str">
        <x:v>Dữ liệu &amp; vận hành
/cms/quan-tri-du-lieu</x:v>
      </x:c>
      <x:c r="D25" s="64" t="str">
        <x:v>LT-05</x:v>
      </x:c>
      <x:c r="E25" s="20" t="str">
        <x:v>Content Architect; Event Owner; Legal; Partnership</x:v>
      </x:c>
      <x:c r="F25" s="20" t="str">
        <x:v>Quản trị taxonomy, ERM, sự kiện, COI, migration và legal identity</x:v>
      </x:c>
      <x:c r="G25" s="20" t="str">
        <x:v>Cập nhật record có version và phê duyệt phù hợp</x:v>
      </x:c>
      <x:c r="H25" s="20" t="str">
        <x:v>Registry selector → record detail → dependencies → validation → approval/version → audit</x:v>
      </x:c>
      <x:c r="I25" s="20" t="str">
        <x:v>Dependencies đứng trước save để thấy ảnh hưởng tới nội dung public; legal identity và migration không được sửa tùy ý</x:v>
      </x:c>
      <x:c r="J25" s="20" t="str">
        <x:v>ID; owner; source; version; hiệu lực; dependency; audit</x:v>
      </x:c>
      <x:c r="K25" s="20" t="str">
        <x:v>Cao</x:v>
      </x:c>
      <x:c r="L25" s="20" t="str">
        <x:v>Không overwrite; migration có dry run/rollback; đào tạo liên kết lưu đơn vị chịu trách nhiệm và URL ngoài</x:v>
      </x:c>
      <x:c r="M25" s="20" t="str">
        <x:v>Review due; taxonomy conflict; COI active/expired; migration dry-run; legal locked</x:v>
      </x:c>
      <x:c r="N25" s="20" t="str">
        <x:v>Registry + detail + dependency panel</x:v>
      </x:c>
      <x:c r="O25" s="20" t="str">
        <x:v>Selector/search trước; tables thành stacked detail; destructive action tách riêng</x:v>
      </x:c>
      <x:c r="P25" s="20" t="str">
        <x:v>ACC-01…10; DATA-01…06</x:v>
      </x:c>
      <x:c r="Q25" s="20" t="str">
        <x:v>record_update; validation_fail; dependency_view; rollback</x:v>
      </x:c>
      <x:c r="R25" s="20" t="str">
        <x:v>CMS-008/009/018/019/028; LEG-004/010; GAP-014</x:v>
      </x:c>
      <x:c r="S25" s="20" t="str">
        <x:v>CUC-017/021/022/025/028/032/034/035/036</x:v>
      </x:c>
      <x:c r="T25" s="20" t="str">
        <x:v>FLOW-06 chỉ CUC-036</x:v>
      </x:c>
      <x:c r="U25" s="20" t="str">
        <x:v>TC theo REQ; migration cần atomic TC</x:v>
      </x:c>
      <x:c r="V25" s="20" t="str">
        <x:v>BLOCKER</x:v>
      </x:c>
      <x:c r="W25" s="20" t="str">
        <x:v>BUILD-NO-GO</x:v>
      </x:c>
      <x:c r="X25" s="20" t="str">
        <x:v>Content Architect + Legal + Tech</x:v>
      </x:c>
      <x:c r="Y25" s="20" t="str">
        <x:v>DEC-001/002/003/009; GAP-014/023; CUC-034 thiếu atomic REQ/TC</x:v>
      </x:c>
    </x:row>
    <x:row r="26" ht="78" customHeight="1">
      <x:c r="A26" s="60" t="str">
        <x:v>SCR-C08</x:v>
      </x:c>
      <x:c r="B26" s="20" t="str">
        <x:v>CMS</x:v>
      </x:c>
      <x:c r="C26" s="20" t="str">
        <x:v>Công bố khẩn
/cms/khan-cap</x:v>
      </x:c>
      <x:c r="D26" s="64" t="str">
        <x:v>LT-06</x:v>
      </x:c>
      <x:c r="E26" s="20" t="str">
        <x:v>Medical Editor; Editorial; Legal; approver</x:v>
      </x:c>
      <x:c r="F26" s="20" t="str">
        <x:v>Công bố notice an toàn đúng thẩm quyền trong khủng hoảng</x:v>
      </x:c>
      <x:c r="G26" s="20" t="str">
        <x:v>Yêu cầu kích hoạt và công bố có expiry/hậu kiểm</x:v>
      </x:c>
      <x:c r="H26" s="20" t="str">
        <x:v>Severity → lý do/bằng chứng → kênh → tối thiểu bắt buộc → approval → publish → expiry/rollback → hậu kiểm</x:v>
      </x:c>
      <x:c r="I26" s="20" t="str">
        <x:v>Điều kiện kích hoạt và authority đứng trước soạn thảo; hậu kiểm là bước bắt buộc</x:v>
      </x:c>
      <x:c r="J26" s="20" t="str">
        <x:v>Evidence; actor; approver; timestamp; channel; expiry; rollback</x:v>
      </x:c>
      <x:c r="K26" s="20" t="str">
        <x:v>Tối quan trọng</x:v>
      </x:c>
      <x:c r="L26" s="20" t="str">
        <x:v>Không bypass hard-lock; người khởi tạo không tự duyệt; dùng notice đã phê duyệt sẵn khi phù hợp</x:v>
      </x:c>
      <x:c r="M26" s="20" t="str">
        <x:v>Initiated; awaiting quorum; denied; published; expired; rolled back; post-review</x:v>
      </x:c>
      <x:c r="N26" s="20" t="str">
        <x:v>Workflow steps + form + immutable conditions</x:v>
      </x:c>
      <x:c r="O26" s="20" t="str">
        <x:v>Tuyến tính; trạng thái/owner rõ; không thao tác bằng gesture; confirm 2 bước</x:v>
      </x:c>
      <x:c r="P26" s="20" t="str">
        <x:v>ACC-01…10; CRISIS-01…06</x:v>
      </x:c>
      <x:c r="Q26" s="20" t="str">
        <x:v>time_to_approve; blocked_no_approver; rollback; post_review</x:v>
      </x:c>
      <x:c r="R26" s="20" t="str">
        <x:v>LEG-012; CMS-014</x:v>
      </x:c>
      <x:c r="S26" s="20" t="str">
        <x:v>CUC-033</x:v>
      </x:c>
      <x:c r="T26" s="20" t="str">
        <x:v>FLOW-11</x:v>
      </x:c>
      <x:c r="U26" s="20" t="str">
        <x:v>TC-LEG-012; TC-CMS-014</x:v>
      </x:c>
      <x:c r="V26" s="20" t="str">
        <x:v>BLOCKER</x:v>
      </x:c>
      <x:c r="W26" s="20" t="str">
        <x:v>BUILD-NO-GO</x:v>
      </x:c>
      <x:c r="X26" s="20" t="str">
        <x:v>HĐKH + BGĐ + Legal</x:v>
      </x:c>
      <x:c r="Y26" s="20" t="str">
        <x:v>DEC-007/020; GAP-019; NEW-UC-05 · authority/quorum/channel/drill</x:v>
      </x:c>
    </x:row>
    <x:row r="27" ht="78" customHeight="1">
      <x:c r="A27" s="60" t="str">
        <x:v>SCR-C09</x:v>
      </x:c>
      <x:c r="B27" s="20" t="str">
        <x:v>CMS</x:v>
      </x:c>
      <x:c r="C27" s="20" t="str">
        <x:v>Xác minh chuyên gia
/cms/xac-minh-chuyen-gia</x:v>
      </x:c>
      <x:c r="D27" s="64" t="str">
        <x:v>LT-05</x:v>
      </x:c>
      <x:c r="E27" s="20" t="str">
        <x:v>Expert Profile Admin; reviewer; HĐKH</x:v>
      </x:c>
      <x:c r="F27" s="20" t="str">
        <x:v>Xác minh và tái xác minh hồ sơ trước khi công khai</x:v>
      </x:c>
      <x:c r="G27" s="20" t="str">
        <x:v>Duyệt; yêu cầu bổ sung; ẩn/hết hạn có lý do</x:v>
      </x:c>
      <x:c r="H27" s="20" t="str">
        <x:v>Queue → danh tính/phạm vi → bằng chứng → COI → decision → hiệu lực → public preview → audit</x:v>
      </x:c>
      <x:c r="I27" s="20" t="str">
        <x:v>Bằng chứng và COI phải được xét trước quyết định; public preview giảm lỗi công bố</x:v>
      </x:c>
      <x:c r="J27" s="20" t="str">
        <x:v>Nguồn bằng chứng; reviewer; expiry; COI; decision; appeal</x:v>
      </x:c>
      <x:c r="K27" s="20" t="str">
        <x:v>Cao</x:v>
      </x:c>
      <x:c r="L27" s="20" t="str">
        <x:v>Không public nếu thiếu/hết hạn; thay đổi COI kích hoạt review; ẩn không xóa lịch sử</x:v>
      </x:c>
      <x:c r="M27" s="20" t="str">
        <x:v>New; insufficient; duplicate; verified; expiring; expired; appealed</x:v>
      </x:c>
      <x:c r="N27" s="20" t="str">
        <x:v>Queue + evidence detail + preview</x:v>
      </x:c>
      <x:c r="O27" s="20" t="str">
        <x:v>Cards + evidence sections; expiry nổi bật bằng chữ; upload access rõ</x:v>
      </x:c>
      <x:c r="P27" s="20" t="str">
        <x:v>ACC-01…10; EXP-01…06</x:v>
      </x:c>
      <x:c r="Q27" s="20" t="str">
        <x:v>verification_time; supplement_request; expiry_block; appeal</x:v>
      </x:c>
      <x:c r="R27" s="20" t="str">
        <x:v>IA-015; CMS-027</x:v>
      </x:c>
      <x:c r="S27" s="20" t="str">
        <x:v>CUC-023; CUC-024</x:v>
      </x:c>
      <x:c r="T27" s="20" t="str">
        <x:v>FLOW-09</x:v>
      </x:c>
      <x:c r="U27" s="20" t="str">
        <x:v>TC-IA-015; TC-CMS-027</x:v>
      </x:c>
      <x:c r="V27" s="20" t="str">
        <x:v>BLOCKER</x:v>
      </x:c>
      <x:c r="W27" s="20" t="str">
        <x:v>BUILD-NO-GO</x:v>
      </x:c>
      <x:c r="X27" s="20" t="str">
        <x:v>HĐKH + Expert Profile Admin</x:v>
      </x:c>
      <x:c r="Y27" s="20" t="str">
        <x:v>DEC-016; GAP-025</x:v>
      </x:c>
    </x:row>
    <x:row r="28" ht="78" customHeight="1">
      <x:c r="A28" s="60" t="str">
        <x:v>SCR-C10</x:v>
      </x:c>
      <x:c r="B28" s="20" t="str">
        <x:v>CMS</x:v>
      </x:c>
      <x:c r="C28" s="20" t="str">
        <x:v>AI governance
/cms/ai-governance</x:v>
      </x:c>
      <x:c r="D28" s="64" t="str">
        <x:v>LT-05</x:v>
      </x:c>
      <x:c r="E28" s="20" t="str">
        <x:v>AI Lead; Medical; Legal; BGĐ</x:v>
      </x:c>
      <x:c r="F28" s="20" t="str">
        <x:v>Kiểm soát use case, guardrail, log, incident và override</x:v>
      </x:c>
      <x:c r="G28" s="20" t="str">
        <x:v>Cho phép/chặn use case; điều tra incident</x:v>
      </x:c>
      <x:c r="H28" s="20" t="str">
        <x:v>Policy status → allowed/blocked uses → log → evaluation → incident → override → disclosure</x:v>
      </x:c>
      <x:c r="I28" s="20" t="str">
        <x:v>Allowed/blocked đứng đầu để ngăn thao tác sai; log và incident cho trách nhiệm giải trình</x:v>
      </x:c>
      <x:c r="J28" s="20" t="str">
        <x:v>Model/vendor/version; actor; prompt/output class; human reviewer; decision</x:v>
      </x:c>
      <x:c r="K28" s="20" t="str">
        <x:v>Tối quan trọng</x:v>
      </x:c>
      <x:c r="L28" s="20" t="str">
        <x:v>AI không chẩn đoán, kê đơn, tự gán evidence hoặc tự publish; override cần authority/reason</x:v>
      </x:c>
      <x:c r="M28" s="20" t="str">
        <x:v>Allowed; hard-lock; incident; override requested/denied; missing log</x:v>
      </x:c>
      <x:c r="N28" s="20" t="str">
        <x:v>Policy panel + log table + incident queue</x:v>
      </x:c>
      <x:c r="O28" s="20" t="str">
        <x:v>Tables có responsive summary; không lộ prompt/dữ liệu nhạy cảm; action tách biệt</x:v>
      </x:c>
      <x:c r="P28" s="20" t="str">
        <x:v>ACC-01…10; AI-01…07</x:v>
      </x:c>
      <x:c r="Q28" s="20" t="str">
        <x:v>blocked_use; human_edit; incident; override</x:v>
      </x:c>
      <x:c r="R28" s="20" t="str">
        <x:v>CMS-020; CMS-021; CMS-022; CMS-023</x:v>
      </x:c>
      <x:c r="S28" s="20" t="str">
        <x:v>CUC-008; CUC-031</x:v>
      </x:c>
      <x:c r="T28" s="20" t="str">
        <x:v>FLOW-12</x:v>
      </x:c>
      <x:c r="U28" s="20" t="str">
        <x:v>TC-CMS-020…023</x:v>
      </x:c>
      <x:c r="V28" s="20" t="str">
        <x:v>BLOCKER</x:v>
      </x:c>
      <x:c r="W28" s="20" t="str">
        <x:v>BUILD-NO-GO</x:v>
      </x:c>
      <x:c r="X28" s="20" t="str">
        <x:v>BGĐ + HĐKH + AI Lead</x:v>
      </x:c>
      <x:c r="Y28" s="20" t="str">
        <x:v>DEC-018; GAP-022 · data scope, model/vendor, log, evaluation, incident</x:v>
      </x:c>
    </x:row>
    <x:row r="29" ht="78" customHeight="1">
      <x:c r="A29" s="60" t="str">
        <x:v>SCR-G01</x:v>
      </x:c>
      <x:c r="B29" s="20" t="str">
        <x:v>Governance</x:v>
      </x:c>
      <x:c r="C29" s="20" t="str">
        <x:v>P0 Decision Log
GOV/P0</x:v>
      </x:c>
      <x:c r="D29" s="64" t="str">
        <x:v>LT-07</x:v>
      </x:c>
      <x:c r="E29" s="20" t="str">
        <x:v>BGĐ; HĐKH; Legal; Product; Tech</x:v>
      </x:c>
      <x:c r="F29" s="20" t="str">
        <x:v>Biết mục nào chỉ mô phỏng và điều kiện để build/launch</x:v>
      </x:c>
      <x:c r="G29" s="20" t="str">
        <x:v>Lọc blocker và ghi quyết định chính thức</x:v>
      </x:c>
      <x:c r="H29" s="20" t="str">
        <x:v>Tổng quan gate → blocker theo owner → điều kiện chốt → ảnh hưởng → lịch sử quyết định</x:v>
      </x:c>
      <x:c r="I29" s="20" t="str">
        <x:v>Gate tổng trước chi tiết để tránh đọc nhầm placeholder là phê duyệt; owner giúp chuyển thành hành động</x:v>
      </x:c>
      <x:c r="J29" s="20" t="str">
        <x:v>Nguồn; người quyết định; ngày; version; reason</x:v>
      </x:c>
      <x:c r="K29" s="20" t="str">
        <x:v>Không</x:v>
      </x:c>
      <x:c r="L29" s="20" t="str">
        <x:v>Không cho sửa quyết định nguồn mà không có audit; hiển thị rõ giả định</x:v>
      </x:c>
      <x:c r="M29" s="20" t="str">
        <x:v>Open; decided; superseded; blocked; overdue</x:v>
      </x:c>
      <x:c r="N29" s="20" t="str">
        <x:v>Summary cards + filterable decision table</x:v>
      </x:c>
      <x:c r="O29" s="20" t="str">
        <x:v>Cards xếp dọc; filter; dòng chi tiết mở rộng</x:v>
      </x:c>
      <x:c r="P29" s="20" t="str">
        <x:v>ACC-01…10</x:v>
      </x:c>
      <x:c r="Q29" s="20" t="str">
        <x:v>decision_age; blocker_by_owner; overdue</x:v>
      </x:c>
      <x:c r="R29" s="20" t="str">
        <x:v>DEC/GAP</x:v>
      </x:c>
      <x:c r="S29" s="20" t="str">
        <x:v>—</x:v>
      </x:c>
      <x:c r="T29" s="20" t="str">
        <x:v>—</x:v>
      </x:c>
      <x:c r="U29" s="20" t="str">
        <x:v>TC theo REQ phụ thuộc</x:v>
      </x:c>
      <x:c r="V29" s="20" t="str">
        <x:v>CHỐT</x:v>
      </x:c>
      <x:c r="W29" s="20" t="str">
        <x:v>WF-GO</x:v>
      </x:c>
      <x:c r="X29" s="20" t="str">
        <x:v>Product Owner</x:v>
      </x:c>
      <x:c r="Y29" s="20" t="str">
        <x:v>Phải cập nhật khi quyết định đào tạo/accessibility được formalize</x:v>
      </x:c>
    </x:row>
    <x:row r="30" ht="78" customHeight="1">
      <x:c r="A30" s="60" t="str">
        <x:v>SCR-G02</x:v>
      </x:c>
      <x:c r="B30" s="20" t="str">
        <x:v>Governance</x:v>
      </x:c>
      <x:c r="C30" s="20" t="str">
        <x:v>Screen &amp; UC Matrix
TRACE/SCREEN</x:v>
      </x:c>
      <x:c r="D30" s="64" t="str">
        <x:v>LT-07</x:v>
      </x:c>
      <x:c r="E30" s="20" t="str">
        <x:v>BA; UX; QA; Product; approver</x:v>
      </x:c>
      <x:c r="F30" s="20" t="str">
        <x:v>Kiểm tra độ phủ và truy xuất hai chiều</x:v>
      </x:c>
      <x:c r="G30" s="20" t="str">
        <x:v>Lọc screen/UC/flow và phát hiện orphan</x:v>
      </x:c>
      <x:c r="H30" s="20" t="str">
        <x:v>Coverage summary → screen mapping → UC coverage → flow route → test → exceptions</x:v>
      </x:c>
      <x:c r="I30" s="20" t="str">
        <x:v>Độ phủ tổng trước record; exceptions nổi bật để không che khoảng trống bằng con số tổng</x:v>
      </x:c>
      <x:c r="J30" s="20" t="str">
        <x:v>Source version; owner; mapping reason; change log</x:v>
      </x:c>
      <x:c r="K30" s="20" t="str">
        <x:v>Không</x:v>
      </x:c>
      <x:c r="L30" s="20" t="str">
        <x:v>Không cho screen/UC/REQ orphan; thay đổi phải cập nhật test và decision state</x:v>
      </x:c>
      <x:c r="M30" s="20" t="str">
        <x:v>All/public/CMS; orphan; alternate route; superseded</x:v>
      </x:c>
      <x:c r="N30" s="20" t="str">
        <x:v>Filterable matrix + exception panel</x:v>
      </x:c>
      <x:c r="O30" s="20" t="str">
        <x:v>Columns ưu tiên; detail drawer cho trace dài; không giấu orphan</x:v>
      </x:c>
      <x:c r="P30" s="20" t="str">
        <x:v>ACC-01…10</x:v>
      </x:c>
      <x:c r="Q30" s="20" t="str">
        <x:v>orphan_count; coverage_change; unresolved_exception</x:v>
      </x:c>
      <x:c r="R30" s="20" t="str">
        <x:v>100 REQ</x:v>
      </x:c>
      <x:c r="S30" s="20" t="str">
        <x:v>25 PUC / 36 CUC</x:v>
      </x:c>
      <x:c r="T30" s="20" t="str">
        <x:v>12 FLOW</x:v>
      </x:c>
      <x:c r="U30" s="20" t="str">
        <x:v>100 TC</x:v>
      </x:c>
      <x:c r="V30" s="20" t="str">
        <x:v>CHỐT</x:v>
      </x:c>
      <x:c r="W30" s="20" t="str">
        <x:v>WF-GO</x:v>
      </x:c>
      <x:c r="X30" s="20" t="str">
        <x:v>BA + QA</x:v>
      </x:c>
      <x:c r="Y30" s="20" t="str">
        <x:v>Source-aligned; inventory v6 = 23 product + 2 governance</x:v>
      </x:c>
    </x:row>
  </x:sheetData>
  <x:mergeCells>
    <x:mergeCell ref="A1:Y1"/>
    <x:mergeCell ref="A2:Y2"/>
    <x:mergeCell ref="A4:Y4"/>
  </x:mergeCells>
  <x:conditionalFormatting sqref="V6:V30">
    <x:cfRule type="containsText" dxfId="0" priority="1" operator="containsText" text="CHỐT"/>
    <x:cfRule type="containsText" dxfId="1" priority="2" operator="containsText" text="PLACEHOLDER"/>
    <x:cfRule type="containsText" dxfId="2" priority="3" operator="containsText" text="BLOCKER"/>
  </x:conditionalFormatting>
  <x:conditionalFormatting sqref="W6:W30">
    <x:cfRule type="containsText" dxfId="3" priority="4" operator="containsText" text="NO-GO"/>
  </x:conditionalFormatting>
  <x:conditionalFormatting sqref="K6:K30">
    <x:cfRule type="containsText" dxfId="4" priority="5" operator="containsText" text="Tối quan trọng"/>
    <x:cfRule type="containsText" dxfId="5" priority="6" operator="containsText" text="Cao"/>
  </x:conditionalFormatting>
  <x:dataValidations count="3">
    <x:dataValidation type="list" sqref="K6:K30">
      <x:formula1>"Không,Thấp,Trung bình,Cao,Tối quan trọng"</x:formula1>
    </x:dataValidation>
    <x:dataValidation type="list" sqref="V6:V30">
      <x:formula1>"CHỐT,PLACEHOLDER,BLOCKER"</x:formula1>
    </x:dataValidation>
    <x:dataValidation type="list" sqref="W6:W30">
      <x:formula1>"WF-GO,WF-GO CÓ ĐIỀU KIỆN,BUILD-NO-GO,LAUNCH-NO-GO"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d9db5934d64e7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4399995803833" hidden="0" customWidth="1"/>
    <x:col min="2" max="2" width="15.779999732971191" hidden="0" customWidth="1"/>
    <x:col min="3" max="3" width="21.110000610351562" hidden="0" customWidth="1"/>
    <x:col min="4" max="4" width="25.559999465942383" hidden="0" customWidth="1"/>
    <x:col min="5" max="5" width="20.559999465942383" hidden="0" customWidth="1"/>
    <x:col min="6" max="6" width="22.780000686645508" hidden="0" customWidth="1"/>
    <x:col min="7" max="7" width="16.110000610351562" hidden="0" customWidth="1"/>
    <x:col min="8" max="8" width="17.219999313354492" hidden="0" customWidth="1"/>
    <x:col min="9" max="9" width="17.219999313354492" hidden="0" customWidth="1"/>
    <x:col min="10" max="10" width="21.110000610351562" hidden="0" customWidth="1"/>
    <x:col min="11" max="11" width="23.329999923706055" hidden="0" customWidth="1"/>
    <x:col min="12" max="12" width="20" hidden="0" customWidth="1"/>
    <x:col min="13" max="13" width="21.110000610351562" hidden="0" customWidth="1"/>
    <x:col min="14" max="14" width="23.329999923706055" hidden="0" customWidth="1"/>
  </x:cols>
  <x:sheetData>
    <x:row r="1" ht="30" customHeight="1">
      <x:c r="A1" s="73" t="str">
        <x:v>02 · Hệ thống 7 template dùng chung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</x:row>
    <x:row r="2" ht="34" customHeight="1">
      <x:c r="A2" s="74" t="str">
        <x:v>Chuẩn hóa layout theo hành vi và rủi ro; responsive là tái sắp xếp, không chỉ thu nhỏ.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</x:row>
    <x:row r="3">
      <x:c r="A3" s="75"/>
      <x:c r="B3" s="75"/>
      <x:c r="C3" s="75"/>
      <x:c r="D3" s="75"/>
      <x:c r="E3" s="75"/>
      <x:c r="F3" s="75"/>
      <x:c r="G3" s="75"/>
      <x:c r="H3" s="75"/>
      <x:c r="I3" s="75"/>
      <x:c r="J3" s="75"/>
      <x:c r="K3" s="75"/>
      <x:c r="L3" s="75"/>
      <x:c r="M3" s="75"/>
      <x:c r="N3" s="75"/>
    </x:row>
    <x:row r="4">
      <x:c r="A4" s="78" t="str">
        <x:v>Template là hợp đồng cấu trúc; mỗi màn hình chỉ được tạo biến thể khi có lý do hành vi/rủi ro rõ ràng.</x:v>
      </x:c>
      <x:c r="B4" s="78"/>
      <x:c r="C4" s="78"/>
      <x:c r="D4" s="78"/>
      <x:c r="E4" s="78"/>
      <x:c r="F4" s="78"/>
      <x:c r="G4" s="78"/>
      <x:c r="H4" s="78"/>
      <x:c r="I4" s="78"/>
      <x:c r="J4" s="78"/>
      <x:c r="K4" s="78"/>
      <x:c r="L4" s="78"/>
      <x:c r="M4" s="78"/>
      <x:c r="N4" s="78"/>
    </x:row>
    <x:row r="5" ht="34" customHeight="1">
      <x:c r="A5" s="76" t="str">
        <x:v>Template</x:v>
      </x:c>
      <x:c r="B5" s="76" t="str">
        <x:v>Tên</x:v>
      </x:c>
      <x:c r="C5" s="76" t="str">
        <x:v>Mục tiêu</x:v>
      </x:c>
      <x:c r="D5" s="76" t="str">
        <x:v>Thứ tự khối</x:v>
      </x:c>
      <x:c r="E5" s="76" t="str">
        <x:v>Desktop grid</x:v>
      </x:c>
      <x:c r="F5" s="76" t="str">
        <x:v>Mobile</x:v>
      </x:c>
      <x:c r="G5" s="76" t="str">
        <x:v>Navigation</x:v>
      </x:c>
      <x:c r="H5" s="76" t="str">
        <x:v>Sidebar/rail</x:v>
      </x:c>
      <x:c r="I5" s="76" t="str">
        <x:v>CTA</x:v>
      </x:c>
      <x:c r="J5" s="76" t="str">
        <x:v>Trust</x:v>
      </x:c>
      <x:c r="K5" s="76" t="str">
        <x:v>Cảnh báo</x:v>
      </x:c>
      <x:c r="L5" s="76" t="str">
        <x:v>States</x:v>
      </x:c>
      <x:c r="M5" s="76" t="str">
        <x:v>Màn hình dùng</x:v>
      </x:c>
      <x:c r="N5" s="76" t="str">
        <x:v>Ghi chú</x:v>
      </x:c>
    </x:row>
    <x:row r="6" ht="86" customHeight="1">
      <x:c r="A6" s="66" t="str">
        <x:v>LT-01</x:v>
      </x:c>
      <x:c r="B6" s="19" t="str">
        <x:v>Audience Hub</x:v>
      </x:c>
      <x:c r="C6" s="19" t="str">
        <x:v>Định vị và phân luồng nhiều nhóm người dùng</x:v>
      </x:c>
      <x:c r="D6" s="19" t="str">
        <x:v>Header → hero/search → lối vào → module ưu tiên → trust → footer</x:v>
      </x:c>
      <x:c r="E6" s="19" t="str">
        <x:v>Hero 2 cột; grid 2–4 cột; không sidebar mặc định</x:v>
      </x:c>
      <x:c r="F6" s="19" t="str">
        <x:v>1 cột; CTA chính trước fold; lối vào thành cards; không carousel tự chạy</x:v>
      </x:c>
      <x:c r="G6" s="19" t="str">
        <x:v>Global nav + contextual quick links</x:v>
      </x:c>
      <x:c r="H6" s="19" t="str">
        <x:v>Không mặc định; dùng rail/panel theo ngữ cảnh</x:v>
      </x:c>
      <x:c r="I6" s="19" t="str">
        <x:v>Một CTA chính, tối đa một CTA phụ cùng cấp</x:v>
      </x:c>
      <x:c r="J6" s="19" t="str">
        <x:v>Trust strip; tư cách; nguồn; owner; ngày cập nhật</x:v>
      </x:c>
      <x:c r="K6" s="19" t="str">
        <x:v>Safety CTA nhìn thấy nhưng không cạnh tranh với mục tiêu chính</x:v>
      </x:c>
      <x:c r="L6" s="19" t="str">
        <x:v>Default; loading; module empty; offline</x:v>
      </x:c>
      <x:c r="M6" s="19" t="str">
        <x:v>SCR-P01; SCR-P08</x:v>
      </x:c>
      <x:c r="N6" s="19" t="str">
        <x:v>Trang báo chí dùng biến thể task-first</x:v>
      </x:c>
    </x:row>
    <x:row r="7" ht="86" customHeight="1">
      <x:c r="A7" s="67" t="str">
        <x:v>LT-02</x:v>
      </x:c>
      <x:c r="B7" s="20" t="str">
        <x:v>Discovery / List</x:v>
      </x:c>
      <x:c r="C7" s="20" t="str">
        <x:v>Tìm, lọc và so sánh tập nội dung/thực thể</x:v>
      </x:c>
      <x:c r="D7" s="20" t="str">
        <x:v>Search/filter → result summary → list/cards → pagination/load more → zero-result recovery</x:v>
      </x:c>
      <x:c r="E7" s="20" t="str">
        <x:v>2 cột khi có filter; grid/list theo loại nội dung</x:v>
      </x:c>
      <x:c r="F7" s="20" t="str">
        <x:v>Filter drawer/accordion; 1 cột; giữ URL state; target ≥44×44</x:v>
      </x:c>
      <x:c r="G7" s="20" t="str">
        <x:v>Breadcrumb + query state</x:v>
      </x:c>
      <x:c r="H7" s="20" t="str">
        <x:v>Filter; ẩn thành drawer trên mobile</x:v>
      </x:c>
      <x:c r="I7" s="20" t="str">
        <x:v>Mở kết quả; CTA outbound phải báo trước</x:v>
      </x:c>
      <x:c r="J7" s="20" t="str">
        <x:v>Metadata tóm tắt; nguồn; xác minh; organizer; ngày</x:v>
      </x:c>
      <x:c r="K7" s="20" t="str">
        <x:v>Safety intercept cho tìm kiếm; expired/invalid rõ bằng chữ</x:v>
      </x:c>
      <x:c r="L7" s="20" t="str">
        <x:v>Loading; results; zero; error; filtered; expired</x:v>
      </x:c>
      <x:c r="M7" s="20" t="str">
        <x:v>SCR-P02; SCR-P06; SCR-P12</x:v>
      </x:c>
      <x:c r="N7" s="20" t="str">
        <x:v>Đào tạo liên kết dùng list variant, không tạo LMS</x:v>
      </x:c>
    </x:row>
    <x:row r="8" ht="86" customHeight="1">
      <x:c r="A8" s="67" t="str">
        <x:v>LT-03</x:v>
      </x:c>
      <x:c r="B8" s="20" t="str">
        <x:v>Knowledge / Profile Detail</x:v>
      </x:c>
      <x:c r="C8" s="20" t="str">
        <x:v>Đọc hiểu nội dung có nguồn và hành động an toàn</x:v>
      </x:c>
      <x:c r="D8" s="20" t="str">
        <x:v>Summary → body/sections → trust/provenance → source/history → related/CTA</x:v>
      </x:c>
      <x:c r="E8" s="20" t="str">
        <x:v>Main 8–9 cột + rail 3–4 cột; TOC khi dài</x:v>
      </x:c>
      <x:c r="F8" s="20" t="str">
        <x:v>1 cột; TOC thu gọn; trust đặt liền nội dung; reflow 320 CSS px</x:v>
      </x:c>
      <x:c r="G8" s="20" t="str">
        <x:v>Breadcrumb + in-page TOC</x:v>
      </x:c>
      <x:c r="H8" s="20" t="str">
        <x:v>TOC/trust/safety rail; chuyển thành section trên mobile</x:v>
      </x:c>
      <x:c r="I8" s="20" t="str">
        <x:v>Đọc tiếp; xem nguồn; báo lỗi; safety CTA theo rủi ro</x:v>
      </x:c>
      <x:c r="J8" s="20" t="str">
        <x:v>Author/reviewer; source; evidence; COI; AI; version; expiry</x:v>
      </x:c>
      <x:c r="K8" s="20" t="str">
        <x:v>Không chẩn đoán; sửa sai công khai; red flags chỉ từ copy đã duyệt</x:v>
      </x:c>
      <x:c r="L8" s="20" t="str">
        <x:v>Default; corrected; stale; expired; missing data; print</x:v>
      </x:c>
      <x:c r="M8" s="20" t="str">
        <x:v>SCR-P03; SCR-P04; SCR-P05; SCR-P07; SCR-P13</x:v>
      </x:c>
      <x:c r="N8" s="20" t="str">
        <x:v>Biến thể safety có tuyến tính và cảnh báo ưu tiên</x:v>
      </x:c>
    </x:row>
    <x:row r="9" ht="86" customHeight="1">
      <x:c r="A9" s="67" t="str">
        <x:v>LT-04</x:v>
      </x:c>
      <x:c r="B9" s="20" t="str">
        <x:v>Guided Contact / Form</x:v>
      </x:c>
      <x:c r="C9" s="20" t="str">
        <x:v>Chọn đúng luồng, thu tối thiểu dữ liệu và phục hồi lỗi</x:v>
      </x:c>
      <x:c r="D9" s="20" t="str">
        <x:v>Purpose → owner → fields → privacy → submit → receipt/recovery</x:v>
      </x:c>
      <x:c r="E9" s="20" t="str">
        <x:v>Form 7–8 cột + context/privacy rail</x:v>
      </x:c>
      <x:c r="F9" s="20" t="str">
        <x:v>1 cột; labels ngoài field; lỗi giữ dữ liệu; keyboard phù hợp</x:v>
      </x:c>
      <x:c r="G9" s="20" t="str">
        <x:v>Back link + progress ngắn khi cần</x:v>
      </x:c>
      <x:c r="H9" s="20" t="str">
        <x:v>Purpose/privacy/owner; chuyển lên trước form trên mobile</x:v>
      </x:c>
      <x:c r="I9" s="20" t="str">
        <x:v>Gửi; thử lại; hoặc outbound tới đối tác</x:v>
      </x:c>
      <x:c r="J9" s="20" t="str">
        <x:v>Purpose; lawful basis; notice version; owner; reference ID</x:v>
      </x:c>
      <x:c r="K9" s="20" t="str">
        <x:v>Không thu tư vấn y tế; no-owner=no deploy; không hứa SLA</x:v>
      </x:c>
      <x:c r="L9" s="20" t="str">
        <x:v>Editing; invalid; anti-spam; duplicate; success; fail; offline</x:v>
      </x:c>
      <x:c r="M9" s="20" t="str">
        <x:v>SCR-P09; SCR-P10; SCR-P11</x:v>
      </x:c>
      <x:c r="N9" s="20" t="str">
        <x:v>Đào tạo chỉ là partner referral/outbound</x:v>
      </x:c>
    </x:row>
    <x:row r="10" ht="86" customHeight="1">
      <x:c r="A10" s="67" t="str">
        <x:v>LT-05</x:v>
      </x:c>
      <x:c r="B10" s="20" t="str">
        <x:v>CMS Queue / Registry</x:v>
      </x:c>
      <x:c r="C10" s="20" t="str">
        <x:v>Quản lý nhiều record, trạng thái, owner và exception</x:v>
      </x:c>
      <x:c r="D10" s="20" t="str">
        <x:v>Gate/summary → filters → queue/registry → detail → audit</x:v>
      </x:c>
      <x:c r="E10" s="20" t="str">
        <x:v>Sidebar CMS + table/queue + detail panel</x:v>
      </x:c>
      <x:c r="F10" s="20" t="str">
        <x:v>Navigation thu gọn; cards/summary rows; detail thành drawer/page</x:v>
      </x:c>
      <x:c r="G10" s="20" t="str">
        <x:v>CMS nav + role context</x:v>
      </x:c>
      <x:c r="H10" s="20" t="str">
        <x:v>Detail/audit panel</x:v>
      </x:c>
      <x:c r="I10" s="20" t="str">
        <x:v>Mở record; xử lý exception; thao tác nguy hiểm tách riêng</x:v>
      </x:c>
      <x:c r="J10" s="20" t="str">
        <x:v>Actor; role; timestamp; source; version; owner</x:v>
      </x:c>
      <x:c r="K10" s="20" t="str">
        <x:v>Default-deny; redaction; destructive confirm; không overwrite</x:v>
      </x:c>
      <x:c r="L10" s="20" t="str">
        <x:v>Loading; empty; denied; stale; conflict; expired; error</x:v>
      </x:c>
      <x:c r="M10" s="20" t="str">
        <x:v>SCR-C01; C02; C05; C06; C07; C09; C10</x:v>
      </x:c>
      <x:c r="N10" s="20" t="str">
        <x:v>Không dùng dashboard như nguồn sự thật khi metric chưa chốt</x:v>
      </x:c>
    </x:row>
    <x:row r="11" ht="86" customHeight="1">
      <x:c r="A11" s="67" t="str">
        <x:v>LT-06</x:v>
      </x:c>
      <x:c r="B11" s="20" t="str">
        <x:v>CMS Workspace / Approval</x:v>
      </x:c>
      <x:c r="C11" s="20" t="str">
        <x:v>Soạn, review hoặc công bố với hard-lock</x:v>
      </x:c>
      <x:c r="D11" s="20" t="str">
        <x:v>Risk/gate → workspace/diff → evidence → decision → audit</x:v>
      </x:c>
      <x:c r="E11" s="20" t="str">
        <x:v>Main workspace + control rail; sticky decision bar khi hợp lệ</x:v>
      </x:c>
      <x:c r="F11" s="20" t="str">
        <x:v>Tuyến tính; control sections; decision ở cuối; save state liên tục</x:v>
      </x:c>
      <x:c r="G11" s="20" t="str">
        <x:v>CMS nav + content identity</x:v>
      </x:c>
      <x:c r="H11" s="20" t="str">
        <x:v>Risk/evidence/decision rail</x:v>
      </x:c>
      <x:c r="I11" s="20" t="str">
        <x:v>Submit/review/approve/request change; crisis action riêng</x:v>
      </x:c>
      <x:c r="J11" s="20" t="str">
        <x:v>Content ID; version; reviewer; source; reason; authority</x:v>
      </x:c>
      <x:c r="K11" s="20" t="str">
        <x:v>No self-approval; M4 hard-lock; sửa làm invalid approval</x:v>
      </x:c>
      <x:c r="L11" s="20" t="str">
        <x:v>Draft; missing; recused; delegated; blocked; approved; stale</x:v>
      </x:c>
      <x:c r="M11" s="20" t="str">
        <x:v>SCR-C03; SCR-C04; SCR-C08</x:v>
      </x:c>
      <x:c r="N11" s="20" t="str">
        <x:v>Crisis là biến thể authority-first</x:v>
      </x:c>
    </x:row>
    <x:row r="12" ht="86" customHeight="1">
      <x:c r="A12" s="67" t="str">
        <x:v>LT-07</x:v>
      </x:c>
      <x:c r="B12" s="20" t="str">
        <x:v>Governance / Traceability</x:v>
      </x:c>
      <x:c r="C12" s="20" t="str">
        <x:v>Ra quyết định và kiểm tra độ phủ nguồn–thiết kế–test</x:v>
      </x:c>
      <x:c r="D12" s="20" t="str">
        <x:v>Summary → filters → matrix/log → exception → change history</x:v>
      </x:c>
      <x:c r="E12" s="20" t="str">
        <x:v>Dashboard cards + wide filterable table</x:v>
      </x:c>
      <x:c r="F12" s="20" t="str">
        <x:v>Cột ưu tiên + detail drawer; không giấu orphan/blocker</x:v>
      </x:c>
      <x:c r="G12" s="20" t="str">
        <x:v>Governance tabs</x:v>
      </x:c>
      <x:c r="H12" s="20" t="str">
        <x:v>Exception/detail panel</x:v>
      </x:c>
      <x:c r="I12" s="20" t="str">
        <x:v>Ghi decision; lọc blocker; mở trace</x:v>
      </x:c>
      <x:c r="J12" s="20" t="str">
        <x:v>Source version; approver; reason; date; superseded link</x:v>
      </x:c>
      <x:c r="K12" s="20" t="str">
        <x:v>Không biến giả định thành quyết định; audit mọi thay đổi</x:v>
      </x:c>
      <x:c r="L12" s="20" t="str">
        <x:v>Open; decided; superseded; blocked; overdue; orphan</x:v>
      </x:c>
      <x:c r="M12" s="20" t="str">
        <x:v>SCR-G01; SCR-G02</x:v>
      </x:c>
      <x:c r="N12" s="20" t="str">
        <x:v>Dùng làm nguồn kiểm soát, không phải trang public</x:v>
      </x:c>
    </x:row>
  </x:sheetData>
  <x:mergeCells>
    <x:mergeCell ref="A1:N1"/>
    <x:mergeCell ref="A2:N2"/>
    <x:mergeCell ref="A4:N4"/>
  </x:mergeCells>
  <x:pageMargins left="0.7" right="0.7" top="0.75" bottom="0.75" header="0.3" footer="0.3"/>
  <x:tableParts count="1">
    <x:tablePart xmlns:r="http://schemas.openxmlformats.org/officeDocument/2006/relationships" r:id="R0ef8d5b1c8de454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16.110000610351562" hidden="0" customWidth="1"/>
    <x:col min="3" max="3" width="32.220001220703125" hidden="0" customWidth="1"/>
    <x:col min="4" max="4" width="28.889999389648438" hidden="0" customWidth="1"/>
    <x:col min="5" max="5" width="25.559999465942383" hidden="0" customWidth="1"/>
    <x:col min="6" max="6" width="12.220000267028809" hidden="0" customWidth="1"/>
    <x:col min="7" max="7" width="15" hidden="0" customWidth="1"/>
  </x:cols>
  <x:sheetData>
    <x:row r="1" ht="30" customHeight="1">
      <x:c r="A1" s="73" t="str">
        <x:v>03 · Accessibility &amp; Older-adult Acceptance Criteria</x:v>
      </x:c>
      <x:c r="B1" s="73"/>
      <x:c r="C1" s="73"/>
      <x:c r="D1" s="73"/>
      <x:c r="E1" s="73"/>
      <x:c r="F1" s="73"/>
      <x:c r="G1" s="73"/>
    </x:row>
    <x:row r="2" ht="34" customHeight="1">
      <x:c r="A2" s="74" t="str">
        <x:v>Bốn tầng: Việt Nam → WCAG 2.2 AA → tiêu chí thích ứng người cao tuổi → yêu cầu an toàn y tế CCHC.</x:v>
      </x:c>
      <x:c r="B2" s="74"/>
      <x:c r="C2" s="74"/>
      <x:c r="D2" s="74"/>
      <x:c r="E2" s="74"/>
      <x:c r="F2" s="74"/>
      <x:c r="G2" s="74"/>
    </x:row>
    <x:row r="3">
      <x:c r="A3" s="75"/>
      <x:c r="B3" s="75"/>
      <x:c r="C3" s="75"/>
      <x:c r="D3" s="75"/>
      <x:c r="E3" s="75"/>
      <x:c r="F3" s="75"/>
      <x:c r="G3" s="75"/>
    </x:row>
    <x:row r="4">
      <x:c r="A4" s="78" t="str">
        <x:v>Không tuyên bố đây là “quy chuẩn quốc gia”. Đây là baseline CCHC để thiết kế, kiểm thử và tạo bằng chứng thực tiễn.</x:v>
      </x:c>
      <x:c r="B4" s="78"/>
      <x:c r="C4" s="78"/>
      <x:c r="D4" s="78"/>
      <x:c r="E4" s="78"/>
      <x:c r="F4" s="78"/>
      <x:c r="G4" s="78"/>
    </x:row>
    <x:row r="5" ht="34" customHeight="1">
      <x:c r="A5" s="76" t="str">
        <x:v>ID</x:v>
      </x:c>
      <x:c r="B5" s="76" t="str">
        <x:v>Nhóm</x:v>
      </x:c>
      <x:c r="C5" s="76" t="str">
        <x:v>Tiêu chí chấp nhận</x:v>
      </x:c>
      <x:c r="D5" s="76" t="str">
        <x:v>Cách kiểm thử</x:v>
      </x:c>
      <x:c r="E5" s="76" t="str">
        <x:v>Nguồn</x:v>
      </x:c>
      <x:c r="F5" s="76" t="str">
        <x:v>Mức</x:v>
      </x:c>
      <x:c r="G5" s="76" t="str">
        <x:v>Owner</x:v>
      </x:c>
    </x:row>
    <x:row r="6" ht="58" customHeight="1">
      <x:c r="A6" s="59" t="str">
        <x:v>ACC-01</x:v>
      </x:c>
      <x:c r="B6" s="19" t="str">
        <x:v>Keyboard</x:v>
      </x:c>
      <x:c r="C6" s="19" t="str">
        <x:v>Mọi chức năng dùng được bằng bàn phím; thứ tự focus theo logic đọc; không keyboard trap.</x:v>
      </x:c>
      <x:c r="D6" s="19" t="str">
        <x:v>Tab/Shift+Tab/Enter/Space/Escape trên desktop và bàn phím ngoài mobile.</x:v>
      </x:c>
      <x:c r="E6" s="19" t="str">
        <x:v>WCAG 2.2 AA</x:v>
      </x:c>
      <x:c r="F6" s="19" t="str">
        <x:v>Bắt buộc</x:v>
      </x:c>
      <x:c r="G6" s="19" t="str">
        <x:v>UX/QA</x:v>
      </x:c>
    </x:row>
    <x:row r="7" ht="58" customHeight="1">
      <x:c r="A7" s="60" t="str">
        <x:v>ACC-02</x:v>
      </x:c>
      <x:c r="B7" s="20" t="str">
        <x:v>Focus</x:v>
      </x:c>
      <x:c r="C7" s="20" t="str">
        <x:v>Focus nhìn thấy rõ, không bị sticky header/overlay che.</x:v>
      </x:c>
      <x:c r="D7" s="20" t="str">
        <x:v>Kiểm tra focus visible và focus not obscured ở mọi component.</x:v>
      </x:c>
      <x:c r="E7" s="20" t="str">
        <x:v>WCAG 2.2 AA</x:v>
      </x:c>
      <x:c r="F7" s="20" t="str">
        <x:v>Bắt buộc</x:v>
      </x:c>
      <x:c r="G7" s="20" t="str">
        <x:v>UX/QA</x:v>
      </x:c>
    </x:row>
    <x:row r="8" ht="58" customHeight="1">
      <x:c r="A8" s="60" t="str">
        <x:v>ACC-03</x:v>
      </x:c>
      <x:c r="B8" s="20" t="str">
        <x:v>Contrast</x:v>
      </x:c>
      <x:c r="C8" s="20" t="str">
        <x:v>Chữ thường ≥4.5:1; chữ lớn ≥3:1; UI/focus ≥3:1.</x:v>
      </x:c>
      <x:c r="D8" s="20" t="str">
        <x:v>Đo palette và trạng thái bằng công cụ contrast.</x:v>
      </x:c>
      <x:c r="E8" s="20" t="str">
        <x:v>WCAG 2.2 AA</x:v>
      </x:c>
      <x:c r="F8" s="20" t="str">
        <x:v>Bắt buộc</x:v>
      </x:c>
      <x:c r="G8" s="20" t="str">
        <x:v>Design System</x:v>
      </x:c>
    </x:row>
    <x:row r="9" ht="58" customHeight="1">
      <x:c r="A9" s="60" t="str">
        <x:v>ACC-04</x:v>
      </x:c>
      <x:c r="B9" s="20" t="str">
        <x:v>Reflow/zoom</x:v>
      </x:c>
      <x:c r="C9" s="20" t="str">
        <x:v>Nội dung reflow ở 320 CSS px và zoom 200% không mất thông tin/chức năng.</x:v>
      </x:c>
      <x:c r="D9" s="20" t="str">
        <x:v>Desktop zoom 200%; viewport 320 px; không cuộn ngang trừ bảng/diagram cần thiết.</x:v>
      </x:c>
      <x:c r="E9" s="20" t="str">
        <x:v>WCAG 2.2 AA</x:v>
      </x:c>
      <x:c r="F9" s="20" t="str">
        <x:v>Bắt buộc</x:v>
      </x:c>
      <x:c r="G9" s="20" t="str">
        <x:v>Frontend + QA</x:v>
      </x:c>
    </x:row>
    <x:row r="10" ht="58" customHeight="1">
      <x:c r="A10" s="60" t="str">
        <x:v>ACC-05</x:v>
      </x:c>
      <x:c r="B10" s="20" t="str">
        <x:v>Target size</x:v>
      </x:c>
      <x:c r="C10" s="20" t="str">
        <x:v>Mục tiêu CCHC tăng cường: vùng chạm chính ≥44×44 CSS px; khoảng cách đủ tránh chạm nhầm.</x:v>
      </x:c>
      <x:c r="D10" s="20" t="str">
        <x:v>Đo hit area trên mobile; ngoại lệ inline link phải có khoảng cách phù hợp.</x:v>
      </x:c>
      <x:c r="E10" s="20" t="str">
        <x:v>Tài liệu mobile thích ứng người cao tuổi Trung Quốc + CCHC enhanced</x:v>
      </x:c>
      <x:c r="F10" s="20" t="str">
        <x:v>Tăng cường</x:v>
      </x:c>
      <x:c r="G10" s="20" t="str">
        <x:v>Design System</x:v>
      </x:c>
    </x:row>
    <x:row r="11" ht="58" customHeight="1">
      <x:c r="A11" s="60" t="str">
        <x:v>ACC-06</x:v>
      </x:c>
      <x:c r="B11" s="20" t="str">
        <x:v>Không chỉ dùng màu</x:v>
      </x:c>
      <x:c r="C11" s="20" t="str">
        <x:v>Trạng thái/cảnh báo luôn có chữ và/hoặc biểu tượng; không dựa duy nhất vào đỏ–vàng–xanh.</x:v>
      </x:c>
      <x:c r="D11" s="20" t="str">
        <x:v>Tắt màu/giả lập monochrome; đọc nhãn trạng thái.</x:v>
      </x:c>
      <x:c r="E11" s="20" t="str">
        <x:v>WCAG 2.2 + tài liệu Trung Quốc</x:v>
      </x:c>
      <x:c r="F11" s="20" t="str">
        <x:v>Bắt buộc</x:v>
      </x:c>
      <x:c r="G11" s="20" t="str">
        <x:v>Design System + QA</x:v>
      </x:c>
    </x:row>
    <x:row r="12" ht="58" customHeight="1">
      <x:c r="A12" s="60" t="str">
        <x:v>ACC-07</x:v>
      </x:c>
      <x:c r="B12" s="20" t="str">
        <x:v>Ngôn ngữ dễ hiểu</x:v>
      </x:c>
      <x:c r="C12" s="20" t="str">
        <x:v>Giải thích thuật ngữ y tế trước khi yêu cầu thao tác; câu ngắn; một hành động chính mỗi khối.</x:v>
      </x:c>
      <x:c r="D12" s="20" t="str">
        <x:v>Đánh giá plain-language; kiểm thử hiểu với người cao tuổi/người có health literacy thấp.</x:v>
      </x:c>
      <x:c r="E12" s="20" t="str">
        <x:v>Tài liệu website thích ứng người cao tuổi Trung Quốc + CCHC</x:v>
      </x:c>
      <x:c r="F12" s="20" t="str">
        <x:v>Tăng cường</x:v>
      </x:c>
      <x:c r="G12" s="20" t="str">
        <x:v>Content + Medical</x:v>
      </x:c>
    </x:row>
    <x:row r="13" ht="58" customHeight="1">
      <x:c r="A13" s="60" t="str">
        <x:v>ACC-08</x:v>
      </x:c>
      <x:c r="B13" s="20" t="str">
        <x:v>Ổn định giao diện</x:v>
      </x:c>
      <x:c r="C13" s="20" t="str">
        <x:v>Không tự chuyển màn hình, tự submit hoặc làm mất trạng thái khi người dùng chưa hoàn tất.</x:v>
      </x:c>
      <x:c r="D13" s="20" t="str">
        <x:v>Kiểm tra timer, carousel, timeout, autosave và back navigation.</x:v>
      </x:c>
      <x:c r="E13" s="20" t="str">
        <x:v>Tài liệu web/mobile Trung Quốc + WCAG</x:v>
      </x:c>
      <x:c r="F13" s="20" t="str">
        <x:v>Bắt buộc</x:v>
      </x:c>
      <x:c r="G13" s="20" t="str">
        <x:v>Frontend + QA</x:v>
      </x:c>
    </x:row>
    <x:row r="14" ht="58" customHeight="1">
      <x:c r="A14" s="60" t="str">
        <x:v>ACC-09</x:v>
      </x:c>
      <x:c r="B14" s="20" t="str">
        <x:v>Semantics</x:v>
      </x:c>
      <x:c r="C14" s="20" t="str">
        <x:v>Heading, landmark, list, table, button, link, form label và live region đúng ngữ nghĩa.</x:v>
      </x:c>
      <x:c r="D14" s="20" t="str">
        <x:v>Screen reader smoke test; accessibility tree; tên/role/value.</x:v>
      </x:c>
      <x:c r="E14" s="20" t="str">
        <x:v>WCAG 2.2 AA</x:v>
      </x:c>
      <x:c r="F14" s="20" t="str">
        <x:v>Bắt buộc</x:v>
      </x:c>
      <x:c r="G14" s="20" t="str">
        <x:v>Frontend + QA</x:v>
      </x:c>
    </x:row>
    <x:row r="15" ht="58" customHeight="1">
      <x:c r="A15" s="60" t="str">
        <x:v>ACC-10</x:v>
      </x:c>
      <x:c r="B15" s="20" t="str">
        <x:v>Lỗi và phục hồi</x:v>
      </x:c>
      <x:c r="C15" s="20" t="str">
        <x:v>Lỗi bằng chữ tại trường + summary; giữ dữ liệu hợp lệ; nêu cách sửa và quay lại.</x:v>
      </x:c>
      <x:c r="D15" s="20" t="str">
        <x:v>Gửi form thiếu/sai; mất mạng; duplicate; retry.</x:v>
      </x:c>
      <x:c r="E15" s="20" t="str">
        <x:v>WCAG 2.2 AA + tài liệu Trung Quốc</x:v>
      </x:c>
      <x:c r="F15" s="20" t="str">
        <x:v>Bắt buộc</x:v>
      </x:c>
      <x:c r="G15" s="20" t="str">
        <x:v>Product + QA</x:v>
      </x:c>
    </x:row>
    <x:row r="16" ht="58" customHeight="1">
      <x:c r="A16" s="60" t="str">
        <x:v>ACC-11</x:v>
      </x:c>
      <x:c r="B16" s="20" t="str">
        <x:v>Khả năng đọc</x:v>
      </x:c>
      <x:c r="C16" s="20" t="str">
        <x:v>Body mặc định ≥16 CSS px; line-height mục tiêu ≥1.5; chiều dài dòng khoảng 45–75 ký tự; hỗ trợ tăng chữ.</x:v>
      </x:c>
      <x:c r="D16" s="20" t="str">
        <x:v>Kiểm tra 200% text size và nội dung dài tiếng Việt.</x:v>
      </x:c>
      <x:c r="E16" s="20" t="str">
        <x:v>CCHC enhanced; tham chiếu tài liệu người cao tuổi</x:v>
      </x:c>
      <x:c r="F16" s="20" t="str">
        <x:v>Tăng cường</x:v>
      </x:c>
      <x:c r="G16" s="20" t="str">
        <x:v>Design System</x:v>
      </x:c>
    </x:row>
    <x:row r="17" ht="58" customHeight="1">
      <x:c r="A17" s="60" t="str">
        <x:v>ACC-12</x:v>
      </x:c>
      <x:c r="B17" s="20" t="str">
        <x:v>An toàn y tế</x:v>
      </x:c>
      <x:c r="C17" s="20" t="str">
        <x:v>Bước tiếp theo an toàn dễ tìm; cảnh báo không chỉ bằng màu; không mô phỏng công cụ chẩn đoán.</x:v>
      </x:c>
      <x:c r="D17" s="20" t="str">
        <x:v>Scenario test với truy vấn khẩn, trang bài, topic và form.</x:v>
      </x:c>
      <x:c r="E17" s="20" t="str">
        <x:v>CCHC clinical safety</x:v>
      </x:c>
      <x:c r="F17" s="20" t="str">
        <x:v>Launch-critical</x:v>
      </x:c>
      <x:c r="G17" s="20" t="str">
        <x:v>HĐKH + Legal</x:v>
      </x:c>
    </x:row>
    <x:row r="18" ht="58" customHeight="1">
      <x:c r="A18" s="60" t="str">
        <x:v>ACC-13</x:v>
      </x:c>
      <x:c r="B18" s="20" t="str">
        <x:v>Popup/overlay</x:v>
      </x:c>
      <x:c r="C18" s="20" t="str">
        <x:v>Tránh popup không cần thiết; khi bắt buộc phải có tên, focus management, nút đóng dễ thấy và vùng chạm đủ lớn.</x:v>
      </x:c>
      <x:c r="D18" s="20" t="str">
        <x:v>Keyboard/screen-reader test; ESC/close; focus return.</x:v>
      </x:c>
      <x:c r="E18" s="20" t="str">
        <x:v>Tài liệu web/mobile Trung Quốc + WCAG</x:v>
      </x:c>
      <x:c r="F18" s="20" t="str">
        <x:v>Bắt buộc</x:v>
      </x:c>
      <x:c r="G18" s="20" t="str">
        <x:v>UX + Frontend</x:v>
      </x:c>
    </x:row>
    <x:row r="19" ht="58" customHeight="1">
      <x:c r="A19" s="60" t="str">
        <x:v>ACC-14</x:v>
      </x:c>
      <x:c r="B19" s="20" t="str">
        <x:v>Motion/media</x:v>
      </x:c>
      <x:c r="C19" s="20" t="str">
        <x:v>Tôn trọng prefers-reduced-motion; không autoplay âm thanh; transcript/caption cho media.</x:v>
      </x:c>
      <x:c r="D19" s="20" t="str">
        <x:v>OS reduced motion; keyboard media controls; transcript check.</x:v>
      </x:c>
      <x:c r="E19" s="20" t="str">
        <x:v>WCAG 2.2 AA</x:v>
      </x:c>
      <x:c r="F19" s="20" t="str">
        <x:v>Bắt buộc</x:v>
      </x:c>
      <x:c r="G19" s="20" t="str">
        <x:v>Frontend + Content</x:v>
      </x:c>
    </x:row>
    <x:row r="20">
      <x:c r="A20" s="75"/>
      <x:c r="B20" s="75"/>
      <x:c r="C20" s="75"/>
      <x:c r="D20" s="75"/>
      <x:c r="E20" s="75"/>
      <x:c r="F20" s="75"/>
      <x:c r="G20" s="75"/>
    </x:row>
    <x:row r="21">
      <x:c r="A21" s="75"/>
      <x:c r="B21" s="75"/>
      <x:c r="C21" s="75"/>
      <x:c r="D21" s="75"/>
      <x:c r="E21" s="75"/>
      <x:c r="F21" s="75"/>
      <x:c r="G21" s="75"/>
    </x:row>
    <x:row r="22" ht="34" customHeight="1">
      <x:c r="A22" s="76" t="str">
        <x:v>NGUỒN THAM CHIẾU</x:v>
      </x:c>
      <x:c r="B22" s="76"/>
      <x:c r="C22" s="76"/>
      <x:c r="D22" s="76"/>
      <x:c r="E22" s="76"/>
      <x:c r="F22" s="76"/>
      <x:c r="G22" s="76"/>
    </x:row>
    <x:row r="23" ht="40" customHeight="1">
      <x:c r="A23" s="59" t="str">
        <x:v>VN-01</x:v>
      </x:c>
      <x:c r="B23" s="19" t="str">
        <x:v>Thông tư 26/2020/TT-BTTTT</x:v>
      </x:c>
      <x:c r="C23" s="19" t="str">
        <x:v>Căn cứ Việt Nam về hỗ trợ người khuyết tật tiếp cận sản phẩm/dịch vụ thông tin–truyền thông.</x:v>
      </x:c>
      <x:c r="D23" s="19" t="str">
        <x:v>https://chinhphu.vn/default.aspx?docid=201221&amp;pageid=27160</x:v>
      </x:c>
      <x:c r="E23" s="19" t="str"/>
      <x:c r="F23" s="19" t="str"/>
      <x:c r="G23" s="19" t="str"/>
    </x:row>
    <x:row r="24" ht="40" customHeight="1">
      <x:c r="A24" s="60" t="str">
        <x:v>INT-01</x:v>
      </x:c>
      <x:c r="B24" s="20" t="str">
        <x:v>WCAG 2.2</x:v>
      </x:c>
      <x:c r="C24" s="20" t="str">
        <x:v>Chuẩn kỹ thuật nền, mục tiêu AA.</x:v>
      </x:c>
      <x:c r="D24" s="20" t="str">
        <x:v>https://www.w3.org/TR/WCAG22/</x:v>
      </x:c>
      <x:c r="E24" s="20" t="str"/>
      <x:c r="F24" s="20" t="str"/>
      <x:c r="G24" s="20" t="str"/>
    </x:row>
    <x:row r="25" ht="40" customHeight="1">
      <x:c r="A25" s="60" t="str">
        <x:v>CN-WEB</x:v>
      </x:c>
      <x:c r="B25" s="20" t="str">
        <x:v>Quy chuẩn website thích ứng người cao tuổi</x:v>
      </x:c>
      <x:c r="C25" s="20" t="str">
        <x:v>Nguồn tăng cường về cấu trúc, cảm nhận, hiểu và tương thích.</x:v>
      </x:c>
      <x:c r="D25" s="20" t="str">
        <x:v>http://wza.isc.org.cn/bztx/bzjd/lgf/index.html</x:v>
      </x:c>
      <x:c r="E25" s="20" t="str"/>
      <x:c r="F25" s="20" t="str"/>
      <x:c r="G25" s="20" t="str"/>
    </x:row>
    <x:row r="26" ht="40" customHeight="1">
      <x:c r="A26" s="60" t="str">
        <x:v>CN-APP</x:v>
      </x:c>
      <x:c r="B26" s="20" t="str">
        <x:v>Quy chuẩn mobile APP thích ứng người cao tuổi</x:v>
      </x:c>
      <x:c r="C26" s="20" t="str">
        <x:v>Nguồn bổ sung về vùng chạm, phản hồi, popup và thao tác mobile.</x:v>
      </x:c>
      <x:c r="D26" s="20" t="str">
        <x:v>http://wza.isc.org.cn/bztx/bzjd/mobile/index.html</x:v>
      </x:c>
      <x:c r="E26" s="20" t="str"/>
      <x:c r="F26" s="20" t="str"/>
      <x:c r="G26" s="20" t="str"/>
    </x:row>
    <x:row r="27" ht="40" customHeight="1">
      <x:c r="A27" s="60" t="str">
        <x:v>CN-UX</x:v>
      </x:c>
      <x:c r="B27" s="20" t="str">
        <x:v>Quy phạm UI nền tảng BHYT Trung Quốc 2019</x:v>
      </x:c>
      <x:c r="C27" s="20" t="str">
        <x:v>Chỉ kế thừa cách đóng gói tiêu chuẩn; không sao chép kích thước/palette cũ.</x:v>
      </x:c>
      <x:c r="D27" s="20" t="str">
        <x:v>Tệp china-ux.pdf đã phân tích trong dự án</x:v>
      </x:c>
      <x:c r="E27" s="20" t="str"/>
      <x:c r="F27" s="20" t="str"/>
      <x:c r="G27" s="20" t="str"/>
    </x:row>
  </x:sheetData>
  <x:mergeCells>
    <x:mergeCell ref="A1:G1"/>
    <x:mergeCell ref="A2:G2"/>
    <x:mergeCell ref="A4:G4"/>
    <x:mergeCell ref="A22:G22"/>
  </x:mergeCells>
  <x:conditionalFormatting sqref="F6:F19">
    <x:cfRule type="containsText" dxfId="6" priority="1" operator="containsText" text="Launch-critical"/>
    <x:cfRule type="containsText" dxfId="7" priority="2" operator="containsText" text="Tăng cường"/>
  </x:conditionalFormatting>
  <x:pageMargins left="0.7" right="0.7" top="0.75" bottom="0.75" header="0.3" footer="0.3"/>
  <x:tableParts count="1">
    <x:tablePart xmlns:r="http://schemas.openxmlformats.org/officeDocument/2006/relationships" r:id="R63957c91f846477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.219999313354492" hidden="0" customWidth="1"/>
    <x:col min="3" max="3" width="33.33000183105469" hidden="0" customWidth="1"/>
    <x:col min="4" max="4" width="19.440000534057617" hidden="0" customWidth="1"/>
    <x:col min="5" max="5" width="11.670000076293945" hidden="0" customWidth="1"/>
    <x:col min="6" max="6" width="21.110000610351562" hidden="0" customWidth="1"/>
    <x:col min="7" max="7" width="25.559999465942383" hidden="0" customWidth="1"/>
    <x:col min="8" max="8" width="24.440000534057617" hidden="0" customWidth="1"/>
  </x:cols>
  <x:sheetData>
    <x:row r="1" ht="30" customHeight="1">
      <x:c r="A1" s="73" t="str">
        <x:v>04 · Decision Gates &amp; Blockers</x:v>
      </x:c>
      <x:c r="B1" s="73"/>
      <x:c r="C1" s="73"/>
      <x:c r="D1" s="73"/>
      <x:c r="E1" s="73"/>
      <x:c r="F1" s="73"/>
      <x:c r="G1" s="73"/>
      <x:c r="H1" s="73"/>
    </x:row>
    <x:row r="2" ht="34" customHeight="1">
      <x:c r="A2" s="74" t="str">
        <x:v>Tách rõ điều được mô phỏng trong wireframe với điều kiện bắt buộc trước build/launch.</x:v>
      </x:c>
      <x:c r="B2" s="74"/>
      <x:c r="C2" s="74"/>
      <x:c r="D2" s="74"/>
      <x:c r="E2" s="74"/>
      <x:c r="F2" s="74"/>
      <x:c r="G2" s="74"/>
      <x:c r="H2" s="74"/>
    </x:row>
    <x:row r="3">
      <x:c r="A3" s="75"/>
      <x:c r="B3" s="75"/>
      <x:c r="C3" s="75"/>
      <x:c r="D3" s="75"/>
      <x:c r="E3" s="75"/>
      <x:c r="F3" s="75"/>
      <x:c r="G3" s="75"/>
      <x:c r="H3" s="75"/>
    </x:row>
    <x:row r="4">
      <x:c r="A4" s="78" t="str">
        <x:v>Ưu tiên xử lý theo owner: HĐKH · Legal/Privacy · BGĐ · Product · Tech/Security · Content/Analytics.</x:v>
      </x:c>
      <x:c r="B4" s="78"/>
      <x:c r="C4" s="78"/>
      <x:c r="D4" s="78"/>
      <x:c r="E4" s="78"/>
      <x:c r="F4" s="78"/>
      <x:c r="G4" s="78"/>
      <x:c r="H4" s="78"/>
    </x:row>
    <x:row r="5" ht="34" customHeight="1">
      <x:c r="A5" s="76" t="str">
        <x:v>ID</x:v>
      </x:c>
      <x:c r="B5" s="76" t="str">
        <x:v>Chủ đề</x:v>
      </x:c>
      <x:c r="C5" s="76" t="str">
        <x:v>Quyết định cần có</x:v>
      </x:c>
      <x:c r="D5" s="76" t="str">
        <x:v>Owner</x:v>
      </x:c>
      <x:c r="E5" s="76" t="str">
        <x:v>Trạng thái</x:v>
      </x:c>
      <x:c r="F5" s="76" t="str">
        <x:v>Ảnh hưởng</x:v>
      </x:c>
      <x:c r="G5" s="76" t="str">
        <x:v>Điều kiện đóng</x:v>
      </x:c>
      <x:c r="H5" s="76" t="str">
        <x:v>Không được làm</x:v>
      </x:c>
    </x:row>
    <x:row r="6" ht="62" customHeight="1">
      <x:c r="A6" s="59" t="str">
        <x:v>DEC-SCOPE-TRN-001</x:v>
      </x:c>
      <x:c r="B6" s="19" t="str">
        <x:v>Đào tạo liên kết</x:v>
      </x:c>
      <x:c r="C6" s="19" t="str">
        <x:v>CCHC chỉ quảng bá/kết nối; đối tác chịu trách nhiệm tổ chức, chuyên môn, thu phí, chứng nhận.</x:v>
      </x:c>
      <x:c r="D6" s="19" t="str">
        <x:v>BGĐ</x:v>
      </x:c>
      <x:c r="E6" s="19" t="str">
        <x:v>CHỐT</x:v>
      </x:c>
      <x:c r="F6" s="19" t="str">
        <x:v>Public/CMS training</x:v>
      </x:c>
      <x:c r="G6" s="19" t="str">
        <x:v>Thay training intake/LMS assumptions; cập nhật RTM + v6 copy</x:v>
      </x:c>
      <x:c r="H6" s="19" t="str">
        <x:v>Không LMS, test, progress, payment, certificate, learner dashboard</x:v>
      </x:c>
    </x:row>
    <x:row r="7" ht="62" customHeight="1">
      <x:c r="A7" s="60" t="str">
        <x:v>ACC-BASE-001</x:v>
      </x:c>
      <x:c r="B7" s="20" t="str">
        <x:v>Baseline tiếp cận</x:v>
      </x:c>
      <x:c r="C7" s="20" t="str">
        <x:v>Việt Nam + WCAG 2.2 AA + lớp người cao tuổi + clinical safety.</x:v>
      </x:c>
      <x:c r="D7" s="20" t="str">
        <x:v>UX/QA + HĐKH</x:v>
      </x:c>
      <x:c r="E7" s="20" t="str">
        <x:v>CHỐT</x:v>
      </x:c>
      <x:c r="F7" s="20" t="str">
        <x:v>Toàn site</x:v>
      </x:c>
      <x:c r="G7" s="20" t="str">
        <x:v>Chuyển ACC-ID thành test cases</x:v>
      </x:c>
      <x:c r="H7" s="20" t="str">
        <x:v>Không tuyên bố quy chuẩn quốc gia</x:v>
      </x:c>
    </x:row>
    <x:row r="8" ht="62" customHeight="1">
      <x:c r="A8" s="60" t="str">
        <x:v>GAP-018</x:v>
      </x:c>
      <x:c r="B8" s="20" t="str">
        <x:v>Chất lượng tìm kiếm</x:v>
      </x:c>
      <x:c r="C8" s="20" t="str">
        <x:v>Ranking, synonym, typo, zero-result, analytics, golden query corpus.</x:v>
      </x:c>
      <x:c r="D8" s="20" t="str">
        <x:v>Product + Medical</x:v>
      </x:c>
      <x:c r="E8" s="20" t="str">
        <x:v>PLACEHOLDER</x:v>
      </x:c>
      <x:c r="F8" s="20" t="str">
        <x:v>SCR-P02</x:v>
      </x:c>
      <x:c r="G8" s="20" t="str">
        <x:v>Duyệt corpus và safety query set</x:v>
      </x:c>
      <x:c r="H8" s="20" t="str">
        <x:v>Không suy diễn ý định y tế</x:v>
      </x:c>
    </x:row>
    <x:row r="9" ht="62" customHeight="1">
      <x:c r="A9" s="60" t="str">
        <x:v>GAP-019</x:v>
      </x:c>
      <x:c r="B9" s="20" t="str">
        <x:v>An toàn/red flags</x:v>
      </x:c>
      <x:c r="C9" s="20" t="str">
        <x:v>Copy, self-harm, authority và kênh chuyển tiếp địa phương.</x:v>
      </x:c>
      <x:c r="D9" s="20" t="str">
        <x:v>HĐKH + Legal</x:v>
      </x:c>
      <x:c r="E9" s="20" t="str">
        <x:v>BLOCKER</x:v>
      </x:c>
      <x:c r="F9" s="20" t="str">
        <x:v>SCR-P02/P04/P05/C05/C08</x:v>
      </x:c>
      <x:c r="G9" s="20" t="str">
        <x:v>Duyệt nội dung và authority matrix</x:v>
      </x:c>
      <x:c r="H9" s="20" t="str">
        <x:v>LAUNCH-NO-GO</x:v>
      </x:c>
    </x:row>
    <x:row r="10" ht="62" customHeight="1">
      <x:c r="A10" s="60" t="str">
        <x:v>GAP-020</x:v>
      </x:c>
      <x:c r="B10" s="20" t="str">
        <x:v>Đính chính</x:v>
      </x:c>
      <x:c r="C10" s="20" t="str">
        <x:v>Severity, SLA, quyền gỡ/ẩn, public notice, crisis policy.</x:v>
      </x:c>
      <x:c r="D10" s="20" t="str">
        <x:v>Editorial + HĐKH</x:v>
      </x:c>
      <x:c r="E10" s="20" t="str">
        <x:v>BLOCKER</x:v>
      </x:c>
      <x:c r="F10" s="20" t="str">
        <x:v>SCR-P04/P13/C05</x:v>
      </x:c>
      <x:c r="G10" s="20" t="str">
        <x:v>Duyệt policy và test cases</x:v>
      </x:c>
      <x:c r="H10" s="20" t="str">
        <x:v>Không sửa âm thầm</x:v>
      </x:c>
    </x:row>
    <x:row r="11" ht="62" customHeight="1">
      <x:c r="A11" s="60" t="str">
        <x:v>DEC-002/003; GAP-021</x:v>
      </x:c>
      <x:c r="B11" s="20" t="str">
        <x:v>Danh tính pháp lý</x:v>
      </x:c>
      <x:c r="C11" s="20" t="str">
        <x:v>Tên, tên Anh/viết tắt, tư cách, quan hệ Tổng hội, field được công bố.</x:v>
      </x:c>
      <x:c r="D11" s="20" t="str">
        <x:v>BGĐ + Legal</x:v>
      </x:c>
      <x:c r="E11" s="20" t="str">
        <x:v>BLOCKER</x:v>
      </x:c>
      <x:c r="F11" s="20" t="str">
        <x:v>Header/footer/SCR-P13/C07</x:v>
      </x:c>
      <x:c r="G11" s="20" t="str">
        <x:v>Tạo master legal identity record</x:v>
      </x:c>
      <x:c r="H11" s="20" t="str">
        <x:v>Không hard-code placeholder</x:v>
      </x:c>
    </x:row>
    <x:row r="12" ht="62" customHeight="1">
      <x:c r="A12" s="60" t="str">
        <x:v>DEC-005</x:v>
      </x:c>
      <x:c r="B12" s="20" t="str">
        <x:v>Báo chí</x:v>
      </x:c>
      <x:c r="C12" s="20" t="str">
        <x:v>Owner, người phát ngôn, thời hạn và phạm vi kết nối chuyên gia.</x:v>
      </x:c>
      <x:c r="D12" s="20" t="str">
        <x:v>BGĐ + Product</x:v>
      </x:c>
      <x:c r="E12" s="20" t="str">
        <x:v>PLACEHOLDER</x:v>
      </x:c>
      <x:c r="F12" s="20" t="str">
        <x:v>SCR-P06/P07/P08</x:v>
      </x:c>
      <x:c r="G12" s="20" t="str">
        <x:v>Duyệt press model</x:v>
      </x:c>
      <x:c r="H12" s="20" t="str">
        <x:v>Không cho liên hệ trực tiếp mặc định</x:v>
      </x:c>
    </x:row>
    <x:row r="13" ht="62" customHeight="1">
      <x:c r="A13" s="60" t="str">
        <x:v>DEC-007</x:v>
      </x:c>
      <x:c r="B13" s="20" t="str">
        <x:v>Risk tier/authority</x:v>
      </x:c>
      <x:c r="C13" s="20" t="str">
        <x:v>Tier, approver, override, recusal, delegation, crisis quorum.</x:v>
      </x:c>
      <x:c r="D13" s="20" t="str">
        <x:v>BGĐ + HĐKH</x:v>
      </x:c>
      <x:c r="E13" s="20" t="str">
        <x:v>BLOCKER</x:v>
      </x:c>
      <x:c r="F13" s="20" t="str">
        <x:v>SCR-C03/C04/C05/C08</x:v>
      </x:c>
      <x:c r="G13" s="20" t="str">
        <x:v>Duyệt authority × risk tier</x:v>
      </x:c>
      <x:c r="H13" s="20" t="str">
        <x:v>BUILD-NO-GO</x:v>
      </x:c>
    </x:row>
    <x:row r="14" ht="62" customHeight="1">
      <x:c r="A14" s="60" t="str">
        <x:v>DEC-010</x:v>
      </x:c>
      <x:c r="B14" s="20" t="str">
        <x:v>Privacy/consent</x:v>
      </x:c>
      <x:c r="C14" s="20" t="str">
        <x:v>Lawful basis, notice version, retention, DSAR, data scope từng form.</x:v>
      </x:c>
      <x:c r="D14" s="20" t="str">
        <x:v>Legal + Privacy</x:v>
      </x:c>
      <x:c r="E14" s="20" t="str">
        <x:v>BLOCKER</x:v>
      </x:c>
      <x:c r="F14" s="20" t="str">
        <x:v>SCR-P09/P10/C06</x:v>
      </x:c>
      <x:c r="G14" s="20" t="str">
        <x:v>Data inventory 7 luồng</x:v>
      </x:c>
      <x:c r="H14" s="20" t="str">
        <x:v>BUILD-NO-GO</x:v>
      </x:c>
    </x:row>
    <x:row r="15" ht="62" customHeight="1">
      <x:c r="A15" s="60" t="str">
        <x:v>DEC-011</x:v>
      </x:c>
      <x:c r="B15" s="20" t="str">
        <x:v>Owner/routing/SLA</x:v>
      </x:c>
      <x:c r="C15" s="20" t="str">
        <x:v>Owner, backup, escalation, notification và SLA từng form.</x:v>
      </x:c>
      <x:c r="D15" s="20" t="str">
        <x:v>Product + BGĐ</x:v>
      </x:c>
      <x:c r="E15" s="20" t="str">
        <x:v>BLOCKER</x:v>
      </x:c>
      <x:c r="F15" s="20" t="str">
        <x:v>SCR-P09/P10/P11/C06</x:v>
      </x:c>
      <x:c r="G15" s="20" t="str">
        <x:v>Duyệt routing matrix</x:v>
      </x:c>
      <x:c r="H15" s="20" t="str">
        <x:v>Không hiển thị SLA giả</x:v>
      </x:c>
    </x:row>
    <x:row r="16" ht="62" customHeight="1">
      <x:c r="A16" s="60" t="str">
        <x:v>DEC-016; GAP-025</x:v>
      </x:c>
      <x:c r="B16" s="20" t="str">
        <x:v>Xác minh chuyên gia</x:v>
      </x:c>
      <x:c r="C16" s="20" t="str">
        <x:v>Nguồn, bằng chứng, expiry, re-verification, appeal, quyền ẩn.</x:v>
      </x:c>
      <x:c r="D16" s="20" t="str">
        <x:v>HĐKH</x:v>
      </x:c>
      <x:c r="E16" s="20" t="str">
        <x:v>BLOCKER</x:v>
      </x:c>
      <x:c r="F16" s="20" t="str">
        <x:v>SCR-P06/P07/C09</x:v>
      </x:c>
      <x:c r="G16" s="20" t="str">
        <x:v>Duyệt verification policy</x:v>
      </x:c>
      <x:c r="H16" s="20" t="str">
        <x:v>LAUNCH-NO-GO hồ sơ</x:v>
      </x:c>
    </x:row>
    <x:row r="17" ht="62" customHeight="1">
      <x:c r="A17" s="60" t="str">
        <x:v>DEC-017; GAP-010/026</x:v>
      </x:c>
      <x:c r="B17" s="20" t="str">
        <x:v>Analytics</x:v>
      </x:c>
      <x:c r="C17" s="20" t="str">
        <x:v>Event taxonomy, consent/tag governance, metric catalog, nguồn và owner.</x:v>
      </x:c>
      <x:c r="D17" s="20" t="str">
        <x:v>Analytics + Privacy + BGĐ</x:v>
      </x:c>
      <x:c r="E17" s="20" t="str">
        <x:v>PLACEHOLDER</x:v>
      </x:c>
      <x:c r="F17" s="20" t="str">
        <x:v>SCR-C01 và toàn site</x:v>
      </x:c>
      <x:c r="G17" s="20" t="str">
        <x:v>Duyệt measurement plan</x:v>
      </x:c>
      <x:c r="H17" s="20" t="str">
        <x:v>Không dùng số mẫu như dữ liệu thật</x:v>
      </x:c>
    </x:row>
    <x:row r="18" ht="62" customHeight="1">
      <x:c r="A18" s="60" t="str">
        <x:v>DEC-018; GAP-022</x:v>
      </x:c>
      <x:c r="B18" s="20" t="str">
        <x:v>AI governance</x:v>
      </x:c>
      <x:c r="C18" s="20" t="str">
        <x:v>Model/vendor, data class, log, retention, eval, disclosure, override, incident.</x:v>
      </x:c>
      <x:c r="D18" s="20" t="str">
        <x:v>BGĐ + HĐKH + Legal</x:v>
      </x:c>
      <x:c r="E18" s="20" t="str">
        <x:v>BLOCKER</x:v>
      </x:c>
      <x:c r="F18" s="20" t="str">
        <x:v>SCR-P13/C03/C10</x:v>
      </x:c>
      <x:c r="G18" s="20" t="str">
        <x:v>Policy nội bộ + công khai</x:v>
      </x:c>
      <x:c r="H18" s="20" t="str">
        <x:v>BUILD/LAUNCH-NO-GO theo phần</x:v>
      </x:c>
    </x:row>
    <x:row r="19" ht="62" customHeight="1">
      <x:c r="A19" s="60" t="str">
        <x:v>GAP-002/003</x:v>
      </x:c>
      <x:c r="B19" s="20" t="str">
        <x:v>IAM/RBAC</x:v>
      </x:c>
      <x:c r="C19" s="20" t="str">
        <x:v>Role×action×tier, SoD, IdP/SSO, MFA, session, offboard, audit retention/export.</x:v>
      </x:c>
      <x:c r="D19" s="20" t="str">
        <x:v>Tech/Security + BGĐ</x:v>
      </x:c>
      <x:c r="E19" s="20" t="str">
        <x:v>BLOCKER</x:v>
      </x:c>
      <x:c r="F19" s="20" t="str">
        <x:v>SCR-C02 và CMS</x:v>
      </x:c>
      <x:c r="G19" s="20" t="str">
        <x:v>Security access spec</x:v>
      </x:c>
      <x:c r="H19" s="20" t="str">
        <x:v>BUILD-NO-GO</x:v>
      </x:c>
    </x:row>
    <x:row r="20" ht="62" customHeight="1">
      <x:c r="A20" s="60" t="str">
        <x:v>GAP-014</x:v>
      </x:c>
      <x:c r="B20" s="20" t="str">
        <x:v>Migration</x:v>
      </x:c>
      <x:c r="C20" s="20" t="str">
        <x:v>Inventory, URL/metadata map, dry run, reconciliation, rollback.</x:v>
      </x:c>
      <x:c r="D20" s="20" t="str">
        <x:v>Content/SEO + Tech</x:v>
      </x:c>
      <x:c r="E20" s="20" t="str">
        <x:v>BLOCKER</x:v>
      </x:c>
      <x:c r="F20" s="20" t="str">
        <x:v>SCR-C07</x:v>
      </x:c>
      <x:c r="G20" s="20" t="str">
        <x:v>Migration plan + atomic REQ/TC</x:v>
      </x:c>
      <x:c r="H20" s="20" t="str">
        <x:v>BUILD-NO-GO migration</x:v>
      </x:c>
    </x:row>
    <x:row r="21" ht="62" customHeight="1">
      <x:c r="A21" s="60" t="str">
        <x:v>GAP-023</x:v>
      </x:c>
      <x:c r="B21" s="20" t="str">
        <x:v>ICD/taxonomy</x:v>
      </x:c>
      <x:c r="C21" s="20" t="str">
        <x:v>Hệ quy chiếu, enum, mapping owner và migration path.</x:v>
      </x:c>
      <x:c r="D21" s="20" t="str">
        <x:v>HĐKH + Content Architect</x:v>
      </x:c>
      <x:c r="E21" s="20" t="str">
        <x:v>BLOCKER</x:v>
      </x:c>
      <x:c r="F21" s="20" t="str">
        <x:v>SCR-P02/C07</x:v>
      </x:c>
      <x:c r="G21" s="20" t="str">
        <x:v>Duyệt hệ mã backstage</x:v>
      </x:c>
      <x:c r="H21" s="20" t="str">
        <x:v>Không hiển thị ICD public</x:v>
      </x:c>
    </x:row>
    <x:row r="22" ht="62" customHeight="1">
      <x:c r="A22" s="60" t="str">
        <x:v>GAP-027</x:v>
      </x:c>
      <x:c r="B22" s="20" t="str">
        <x:v>Platform/vendor</x:v>
      </x:c>
      <x:c r="C22" s="20" t="str">
        <x:v>CMS, hosting, domain, CDN, email service, asset ownership.</x:v>
      </x:c>
      <x:c r="D22" s="20" t="str">
        <x:v>Tech + BGĐ</x:v>
      </x:c>
      <x:c r="E22" s="20" t="str">
        <x:v>BLOCKER</x:v>
      </x:c>
      <x:c r="F22" s="20" t="str">
        <x:v>Toàn kỹ thuật</x:v>
      </x:c>
      <x:c r="G22" s="20" t="str">
        <x:v>Duyệt kiến trúc và account ownership</x:v>
      </x:c>
      <x:c r="H22" s="20" t="str">
        <x:v>Wireframe vendor-neutral</x:v>
      </x:c>
    </x:row>
    <x:row r="23" ht="62" customHeight="1">
      <x:c r="A23" s="60" t="str">
        <x:v>GAP-028</x:v>
      </x:c>
      <x:c r="B23" s="20" t="str">
        <x:v>Launch inventory</x:v>
      </x:c>
      <x:c r="C23" s="20" t="str">
        <x:v>6 chủ đề, 12 bài, 8 chuyên gia, 3 tin, 3 sự kiện, policy launch-critical.</x:v>
      </x:c>
      <x:c r="D23" s="20" t="str">
        <x:v>Content Lead + HĐKH</x:v>
      </x:c>
      <x:c r="E23" s="20" t="str">
        <x:v>PLACEHOLDER</x:v>
      </x:c>
      <x:c r="F23" s="20" t="str">
        <x:v>Public MVP</x:v>
      </x:c>
      <x:c r="G23" s="20" t="str">
        <x:v>Chốt owner và lịch duyệt</x:v>
      </x:c>
      <x:c r="H23" s="20" t="str">
        <x:v>LAUNCH-NO-GO nếu thiếu</x:v>
      </x:c>
    </x:row>
  </x:sheetData>
  <x:mergeCells>
    <x:mergeCell ref="A1:H1"/>
    <x:mergeCell ref="A2:H2"/>
    <x:mergeCell ref="A4:H4"/>
  </x:mergeCells>
  <x:conditionalFormatting sqref="E6:E23">
    <x:cfRule type="containsText" dxfId="8" priority="1" operator="containsText" text="CHỐT"/>
    <x:cfRule type="containsText" dxfId="9" priority="2" operator="containsText" text="PLACEHOLDER"/>
    <x:cfRule type="containsText" dxfId="10" priority="3" operator="containsText" text="BLOCKER"/>
  </x:conditionalFormatting>
  <x:dataValidations count="1">
    <x:dataValidation type="list" sqref="E6:E23">
      <x:formula1>"CHỐT,PLACEHOLDER,BLOCKER"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e5386522b345c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20000267028809" hidden="0" customWidth="1"/>
    <x:col min="2" max="2" width="12.220000267028809" hidden="0" customWidth="1"/>
    <x:col min="3" max="3" width="16.670000076293945" hidden="0" customWidth="1"/>
    <x:col min="4" max="4" width="26.670000076293945" hidden="0" customWidth="1"/>
    <x:col min="5" max="5" width="33.33000183105469" hidden="0" customWidth="1"/>
    <x:col min="6" max="6" width="11.109999656677246" hidden="0" customWidth="1"/>
    <x:col min="7" max="7" width="14.4399995803833" hidden="0" customWidth="1"/>
    <x:col min="8" max="8" width="17.219999313354492" hidden="0" customWidth="1"/>
    <x:col min="9" max="9" width="28.889999389648438" hidden="0" customWidth="1"/>
  </x:cols>
  <x:sheetData>
    <x:row r="1" ht="30" customHeight="1">
      <x:c r="A1" s="73" t="str">
        <x:v>05 · Change Log</x:v>
      </x:c>
      <x:c r="B1" s="73"/>
      <x:c r="C1" s="73"/>
      <x:c r="D1" s="73"/>
      <x:c r="E1" s="73"/>
      <x:c r="F1" s="73"/>
      <x:c r="G1" s="73"/>
      <x:c r="H1" s="73"/>
      <x:c r="I1" s="73"/>
    </x:row>
    <x:row r="2" ht="34" customHeight="1">
      <x:c r="A2" s="74" t="str">
        <x:v>Ghi nhận quyết định mới và tác động lên nguồn cũ; không sửa lịch sử âm thầm.</x:v>
      </x:c>
      <x:c r="B2" s="74"/>
      <x:c r="C2" s="74"/>
      <x:c r="D2" s="74"/>
      <x:c r="E2" s="74"/>
      <x:c r="F2" s="74"/>
      <x:c r="G2" s="74"/>
      <x:c r="H2" s="74"/>
      <x:c r="I2" s="74"/>
    </x:row>
    <x:row r="3">
      <x:c r="A3" s="75"/>
      <x:c r="B3" s="75"/>
      <x:c r="C3" s="75"/>
      <x:c r="D3" s="75"/>
      <x:c r="E3" s="75"/>
      <x:c r="F3" s="75"/>
      <x:c r="G3" s="75"/>
      <x:c r="H3" s="75"/>
      <x:c r="I3" s="75"/>
    </x:row>
    <x:row r="4">
      <x:c r="A4" s="78" t="str">
        <x:v>Mọi quyết định làm thay đổi phạm vi phải cập nhật RTM, ma trận, wireframe và test tương ứng.</x:v>
      </x:c>
      <x:c r="B4" s="78"/>
      <x:c r="C4" s="78"/>
      <x:c r="D4" s="78"/>
      <x:c r="E4" s="78"/>
      <x:c r="F4" s="78"/>
      <x:c r="G4" s="78"/>
      <x:c r="H4" s="78"/>
      <x:c r="I4" s="78"/>
    </x:row>
    <x:row r="5" ht="34" customHeight="1">
      <x:c r="A5" s="76" t="str">
        <x:v>Ngày</x:v>
      </x:c>
      <x:c r="B5" s="76" t="str">
        <x:v>Loại</x:v>
      </x:c>
      <x:c r="C5" s="76" t="str">
        <x:v>Chủ đề</x:v>
      </x:c>
      <x:c r="D5" s="76" t="str">
        <x:v>Trước</x:v>
      </x:c>
      <x:c r="E5" s="76" t="str">
        <x:v>Sau</x:v>
      </x:c>
      <x:c r="F5" s="76" t="str">
        <x:v>Trạng thái</x:v>
      </x:c>
      <x:c r="G5" s="76" t="str">
        <x:v>Owner</x:v>
      </x:c>
      <x:c r="H5" s="76" t="str">
        <x:v>Decision/Source</x:v>
      </x:c>
      <x:c r="I5" s="76" t="str">
        <x:v>Tác động</x:v>
      </x:c>
    </x:row>
    <x:row r="6" ht="56" customHeight="1">
      <x:c r="A6" s="68" t="n">
        <x:v>46227.5</x:v>
      </x:c>
      <x:c r="B6" s="19" t="str">
        <x:v>SCOPE</x:v>
      </x:c>
      <x:c r="C6" s="19" t="str">
        <x:v>Đào tạo/CME</x:v>
      </x:c>
      <x:c r="D6" s="19" t="str">
        <x:v>CCHC trực tiếp tổ chức/nhận nhu cầu đào tạo; có khả năng mở rộng module học.</x:v>
      </x:c>
      <x:c r="E6" s="19" t="str">
        <x:v>Đào tạo liên kết: quảng bá/kết nối chương trình do đối tác tổ chức.</x:v>
      </x:c>
      <x:c r="F6" s="71" t="str">
        <x:v>CHỐT</x:v>
      </x:c>
      <x:c r="G6" s="19" t="str">
        <x:v>BGĐ</x:v>
      </x:c>
      <x:c r="H6" s="19" t="str">
        <x:v>DEC-SCOPE-TRN-001</x:v>
      </x:c>
      <x:c r="I6" s="19" t="str">
        <x:v>Cập nhật P01/P09/P10/P12/C06/C07 và RTM; loại LMS/payment/certification.</x:v>
      </x:c>
    </x:row>
    <x:row r="7" ht="56" customHeight="1">
      <x:c r="A7" s="69" t="n">
        <x:v>46227.5</x:v>
      </x:c>
      <x:c r="B7" s="20" t="str">
        <x:v>ACCESSIBILITY</x:v>
      </x:c>
      <x:c r="C7" s="20" t="str">
        <x:v>Baseline</x:v>
      </x:c>
      <x:c r="D7" s="20" t="str">
        <x:v>WCAG 2.2 AA ở mức tạm chốt.</x:v>
      </x:c>
      <x:c r="E7" s="20" t="str">
        <x:v>Thêm lớp thích ứng người cao tuổi và health literacy; dùng tài liệu Trung Quốc làm tham chiếu tăng cường.</x:v>
      </x:c>
      <x:c r="F7" s="72" t="str">
        <x:v>CHỐT</x:v>
      </x:c>
      <x:c r="G7" s="20" t="str">
        <x:v>UX/QA</x:v>
      </x:c>
      <x:c r="H7" s="20" t="str">
        <x:v>ACC-BASE-001</x:v>
      </x:c>
      <x:c r="I7" s="20" t="str">
        <x:v>Chuyển ACC-ID thành acceptance test.</x:v>
      </x:c>
    </x:row>
    <x:row r="8" ht="56" customHeight="1">
      <x:c r="A8" s="69" t="n">
        <x:v>46227.5</x:v>
      </x:c>
      <x:c r="B8" s="20" t="str">
        <x:v>INVENTORY</x:v>
      </x:c>
      <x:c r="C8" s="20" t="str">
        <x:v>Screen count</x:v>
      </x:c>
      <x:c r="D8" s="20" t="str">
        <x:v>Kế hoạch nhắc 21 màn hình.</x:v>
      </x:c>
      <x:c r="E8" s="20" t="str">
        <x:v>Wireframe v6 có 23 màn hình sản phẩm + 2 governance.</x:v>
      </x:c>
      <x:c r="F8" s="72" t="str">
        <x:v>CHỐT</x:v>
      </x:c>
      <x:c r="G8" s="20" t="str">
        <x:v>BA/Product</x:v>
      </x:c>
      <x:c r="H8" s="20" t="str">
        <x:v>Wireframe v6</x:v>
      </x:c>
      <x:c r="I8" s="20" t="str">
        <x:v>Không ép về số cũ; vẫn gom 7 template.</x:v>
      </x:c>
    </x:row>
    <x:row r="9" ht="56" customHeight="1">
      <x:c r="A9" s="69" t="n">
        <x:v>46228.5</x:v>
      </x:c>
      <x:c r="B9" s="20" t="str">
        <x:v>DESIGN</x:v>
      </x:c>
      <x:c r="C9" s="20" t="str">
        <x:v>Matrix</x:v>
      </x:c>
      <x:c r="D9" s="20" t="str">
        <x:v>Chưa có bản thiết kế logic độc lập.</x:v>
      </x:c>
      <x:c r="E9" s="20" t="str">
        <x:v>Tạo Layout &amp; Behavioral Design Matrix v0.1 làm cầu nối RTM → HTML.</x:v>
      </x:c>
      <x:c r="F9" s="72" t="str">
        <x:v>CHỐT</x:v>
      </x:c>
      <x:c r="G9" s="20" t="str">
        <x:v>Product/UX</x:v>
      </x:c>
      <x:c r="H9" s="20" t="str">
        <x:v>Tệp hiện tại</x:v>
      </x:c>
      <x:c r="I9" s="20" t="str">
        <x:v>Chưa chỉnh HTML trong bước này.</x:v>
      </x:c>
    </x:row>
    <x:row r="10" ht="56" customHeight="1">
      <x:c r="A10" s="69" t="n">
        <x:v>46228.5</x:v>
      </x:c>
      <x:c r="B10" s="20" t="str">
        <x:v>GOVERNANCE</x:v>
      </x:c>
      <x:c r="C10" s="20" t="str">
        <x:v>Status model</x:v>
      </x:c>
      <x:c r="D10" s="20" t="str">
        <x:v>Các thuật ngữ review/tạm chốt/no-go rải rác.</x:v>
      </x:c>
      <x:c r="E10" s="20" t="str">
        <x:v>Chuẩn hóa CHỐT / PLACEHOLDER / BLOCKER + gate WF/BUILD/LAUNCH.</x:v>
      </x:c>
      <x:c r="F10" s="72" t="str">
        <x:v>CHỐT</x:v>
      </x:c>
      <x:c r="G10" s="20" t="str">
        <x:v>Product Owner</x:v>
      </x:c>
      <x:c r="H10" s="20" t="str">
        <x:v>Ma trận v0.1</x:v>
      </x:c>
      <x:c r="I10" s="20" t="str">
        <x:v>Không dùng màu làm tín hiệu duy nhất.</x:v>
      </x:c>
    </x:row>
  </x:sheetData>
  <x:mergeCells>
    <x:mergeCell ref="A1:I1"/>
    <x:mergeCell ref="A2:I2"/>
    <x:mergeCell ref="A4:I4"/>
  </x:mergeCells>
  <x:pageMargins left="0.7" right="0.7" top="0.75" bottom="0.75" header="0.3" footer="0.3"/>
  <x:tableParts count="1">
    <x:tablePart xmlns:r="http://schemas.openxmlformats.org/officeDocument/2006/relationships" r:id="R6ae70b1d37e54c0f"/>
  </x:tableParts>
</x:worksheet>
</file>